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ción" state="visible" r:id="rId4"/>
  </sheets>
  <calcPr calcId="171027"/>
</workbook>
</file>

<file path=xl/sharedStrings.xml><?xml version="1.0" encoding="utf-8"?>
<sst xmlns="http://schemas.openxmlformats.org/spreadsheetml/2006/main" count="45" uniqueCount="38">
  <si>
    <t>ESTIMACIÓN DE OBRA No. 001</t>
  </si>
  <si>
    <t>Proyecto: Edificio Corporativo Plaza Central</t>
  </si>
  <si>
    <t>CÓDIGO</t>
  </si>
  <si>
    <t>DESCRIPCIÓN</t>
  </si>
  <si>
    <t>UNIDAD</t>
  </si>
  <si>
    <t>CANTIDAD</t>
  </si>
  <si>
    <t>P.U.</t>
  </si>
  <si>
    <t>IMPORTE</t>
  </si>
  <si>
    <t>1</t>
  </si>
  <si>
    <t>PRELIMINARES</t>
  </si>
  <si>
    <t>1.1</t>
  </si>
  <si>
    <t>Limpieza y trazo del terreno</t>
  </si>
  <si>
    <t>M2</t>
  </si>
  <si>
    <t>1.2</t>
  </si>
  <si>
    <t>Demolición de estructuras existentes</t>
  </si>
  <si>
    <t>M3</t>
  </si>
  <si>
    <t>1.3</t>
  </si>
  <si>
    <t>Retiro de escombro a 20km</t>
  </si>
  <si>
    <t>2</t>
  </si>
  <si>
    <t>CIMENTACIÓN</t>
  </si>
  <si>
    <t>2.1</t>
  </si>
  <si>
    <t>Excavación a cielo abierto</t>
  </si>
  <si>
    <t>2.2</t>
  </si>
  <si>
    <t>Plantilla de concreto f'c=100 kg/cm2</t>
  </si>
  <si>
    <t>2.3</t>
  </si>
  <si>
    <t>Zapatas de concreto f'c=250 kg/cm2</t>
  </si>
  <si>
    <t>2.4</t>
  </si>
  <si>
    <t>Acero de refuerzo fy=4200 kg/cm2</t>
  </si>
  <si>
    <t>KG</t>
  </si>
  <si>
    <t>3</t>
  </si>
  <si>
    <t>ESTRUCTURA</t>
  </si>
  <si>
    <t>3.1</t>
  </si>
  <si>
    <t>Columnas de concreto armado</t>
  </si>
  <si>
    <t>3.2</t>
  </si>
  <si>
    <t>Trabes de concreto armado</t>
  </si>
  <si>
    <t>3.3</t>
  </si>
  <si>
    <t>Losa maciza de 12cm</t>
  </si>
  <si>
    <t>TOTAL ESTIMACIÓN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</si>
</sst>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sz val="12"/>
      <name val="Arial"/>
    </font>
    <font>
      <b/>
      <color rgb="FFFFFF"/>
      <sz val="11"/>
      <name val="Arial"/>
    </font>
    <font>
      <b/>
      <sz val="11"/>
      <name val="Arial"/>
    </font>
    <font>
      <b/>
      <color rgb="FFFFFF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F2937"/>
      </patternFill>
    </fill>
    <fill>
      <patternFill patternType="solid">
        <fgColor rgb="FEF3C7"/>
      </patternFill>
    </fill>
    <fill>
      <patternFill patternType="solid">
        <fgColor rgb="F9FAFB"/>
      </patternFill>
    </fill>
  </fills>
  <borders count="4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4" fontId="0" fillId="5" borderId="2" xfId="0" applyNumberFormat="1" applyFill="1" applyBorder="1" applyAlignment="1">
      <alignment horizontal="right"/>
    </xf>
    <xf numFmtId="164" fontId="0" fillId="5" borderId="2" xfId="0" applyNumberFormat="1" applyFill="1" applyBorder="1" applyAlignment="1">
      <alignment horizontal="right"/>
    </xf>
    <xf numFmtId="164" fontId="4" fillId="5" borderId="2" xfId="0" applyNumberFormat="1" applyFont="1" applyFill="1" applyBorder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4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164" fontId="5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</sheetPr>
  <dimension ref="A1:F19"/>
  <sheetFormatPr defaultRowHeight="15" outlineLevelRow="0" outlineLevelCol="0" x14ac:dyDescent="55"/>
  <cols>
    <col min="1" max="1" width="12" customWidth="1"/>
    <col min="2" max="2" width="45" customWidth="1"/>
    <col min="3" max="3" width="10" customWidth="1"/>
    <col min="4" max="4" width="12" customWidth="1"/>
    <col min="5" max="5" width="15" customWidth="1"/>
    <col min="6" max="6" width="18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2" ht="25" customHeight="1" spans="1:6" x14ac:dyDescent="0.25">
      <c r="A2" s="2" t="s">
        <v>1</v>
      </c>
      <c r="B2" s="2"/>
      <c r="C2" s="2"/>
      <c r="D2" s="2"/>
      <c r="E2" s="2"/>
      <c r="F2" s="2"/>
    </row>
    <row r="4" ht="25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 t="s">
        <v>9</v>
      </c>
      <c r="C5" s="4"/>
      <c r="D5" s="4"/>
      <c r="E5" s="4"/>
      <c r="F5" s="4"/>
    </row>
    <row r="6" spans="1:6" x14ac:dyDescent="0.25">
      <c r="A6" s="5" t="s">
        <v>10</v>
      </c>
      <c r="B6" s="5" t="s">
        <v>11</v>
      </c>
      <c r="C6" s="6" t="s">
        <v>12</v>
      </c>
      <c r="D6" s="7">
        <v>500</v>
      </c>
      <c r="E6" s="8">
        <v>25.5</v>
      </c>
      <c r="F6" s="9">
        <f>D6*E6</f>
      </c>
    </row>
    <row r="7" spans="1:6" x14ac:dyDescent="0.25">
      <c r="A7" s="10" t="s">
        <v>13</v>
      </c>
      <c r="B7" s="10" t="s">
        <v>14</v>
      </c>
      <c r="C7" s="11" t="s">
        <v>15</v>
      </c>
      <c r="D7" s="12">
        <v>120</v>
      </c>
      <c r="E7" s="13">
        <v>180</v>
      </c>
      <c r="F7" s="14">
        <f>D7*E7</f>
      </c>
    </row>
    <row r="8" spans="1:6" x14ac:dyDescent="0.25">
      <c r="A8" s="5" t="s">
        <v>16</v>
      </c>
      <c r="B8" s="5" t="s">
        <v>17</v>
      </c>
      <c r="C8" s="6" t="s">
        <v>15</v>
      </c>
      <c r="D8" s="7">
        <v>150</v>
      </c>
      <c r="E8" s="8">
        <v>95</v>
      </c>
      <c r="F8" s="9">
        <f>D8*E8</f>
      </c>
    </row>
    <row r="9" spans="1:6" x14ac:dyDescent="0.25">
      <c r="A9" s="4" t="s">
        <v>18</v>
      </c>
      <c r="B9" s="4" t="s">
        <v>19</v>
      </c>
      <c r="C9" s="4"/>
      <c r="D9" s="4"/>
      <c r="E9" s="4"/>
      <c r="F9" s="4"/>
    </row>
    <row r="10" spans="1:6" x14ac:dyDescent="0.25">
      <c r="A10" s="5" t="s">
        <v>20</v>
      </c>
      <c r="B10" s="5" t="s">
        <v>21</v>
      </c>
      <c r="C10" s="6" t="s">
        <v>15</v>
      </c>
      <c r="D10" s="7">
        <v>320</v>
      </c>
      <c r="E10" s="8">
        <v>85</v>
      </c>
      <c r="F10" s="9">
        <f>D10*E10</f>
      </c>
    </row>
    <row r="11" spans="1:6" x14ac:dyDescent="0.25">
      <c r="A11" s="10" t="s">
        <v>22</v>
      </c>
      <c r="B11" s="10" t="s">
        <v>23</v>
      </c>
      <c r="C11" s="11" t="s">
        <v>12</v>
      </c>
      <c r="D11" s="12">
        <v>280</v>
      </c>
      <c r="E11" s="13">
        <v>145</v>
      </c>
      <c r="F11" s="14">
        <f>D11*E11</f>
      </c>
    </row>
    <row r="12" spans="1:6" x14ac:dyDescent="0.25">
      <c r="A12" s="5" t="s">
        <v>24</v>
      </c>
      <c r="B12" s="5" t="s">
        <v>25</v>
      </c>
      <c r="C12" s="6" t="s">
        <v>15</v>
      </c>
      <c r="D12" s="7">
        <v>95</v>
      </c>
      <c r="E12" s="8">
        <v>2850</v>
      </c>
      <c r="F12" s="9">
        <f>D12*E12</f>
      </c>
    </row>
    <row r="13" spans="1:6" x14ac:dyDescent="0.25">
      <c r="A13" s="10" t="s">
        <v>26</v>
      </c>
      <c r="B13" s="10" t="s">
        <v>27</v>
      </c>
      <c r="C13" s="11" t="s">
        <v>28</v>
      </c>
      <c r="D13" s="12">
        <v>4500</v>
      </c>
      <c r="E13" s="13">
        <v>28.5</v>
      </c>
      <c r="F13" s="14">
        <f>D13*E13</f>
      </c>
    </row>
    <row r="14" spans="1:6" x14ac:dyDescent="0.25">
      <c r="A14" s="4" t="s">
        <v>29</v>
      </c>
      <c r="B14" s="4" t="s">
        <v>30</v>
      </c>
      <c r="C14" s="4"/>
      <c r="D14" s="4"/>
      <c r="E14" s="4"/>
      <c r="F14" s="4"/>
    </row>
    <row r="15" spans="1:6" x14ac:dyDescent="0.25">
      <c r="A15" s="10" t="s">
        <v>31</v>
      </c>
      <c r="B15" s="10" t="s">
        <v>32</v>
      </c>
      <c r="C15" s="11" t="s">
        <v>15</v>
      </c>
      <c r="D15" s="12">
        <v>45</v>
      </c>
      <c r="E15" s="13">
        <v>4200</v>
      </c>
      <c r="F15" s="14">
        <f>D15*E15</f>
      </c>
    </row>
    <row r="16" spans="1:6" x14ac:dyDescent="0.25">
      <c r="A16" s="5" t="s">
        <v>33</v>
      </c>
      <c r="B16" s="5" t="s">
        <v>34</v>
      </c>
      <c r="C16" s="6" t="s">
        <v>15</v>
      </c>
      <c r="D16" s="7">
        <v>85</v>
      </c>
      <c r="E16" s="8">
        <v>3800</v>
      </c>
      <c r="F16" s="9">
        <f>D16*E16</f>
      </c>
    </row>
    <row r="17" spans="1:6" x14ac:dyDescent="0.25">
      <c r="A17" s="10" t="s">
        <v>35</v>
      </c>
      <c r="B17" s="10" t="s">
        <v>36</v>
      </c>
      <c r="C17" s="11" t="s">
        <v>12</v>
      </c>
      <c r="D17" s="12">
        <v>1200</v>
      </c>
      <c r="E17" s="13">
        <v>680</v>
      </c>
      <c r="F17" s="14">
        <f>D17*E17</f>
      </c>
    </row>
    <row r="19" ht="28" customHeight="1" spans="1:6" x14ac:dyDescent="0.25">
      <c r="A19" s="15" t="s">
        <v>37</v>
      </c>
      <c r="B19" s="15"/>
      <c r="C19" s="15"/>
      <c r="D19" s="15"/>
      <c r="E19" s="15"/>
      <c r="F19" s="16">
        <f>SUM(F5:F17)</f>
      </c>
    </row>
  </sheetData>
  <mergeCells count="6">
    <mergeCell ref="A1:F1"/>
    <mergeCell ref="A2:F2"/>
    <mergeCell ref="B5:F5"/>
    <mergeCell ref="B9:F9"/>
    <mergeCell ref="B14:F14"/>
    <mergeCell ref="A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AutoGrid Test Generator</dc:creator>
  <dc:title/>
  <dc:subject/>
  <dc:description/>
  <cp:keywords/>
  <cp:category/>
  <cp:lastModifiedBy>Unknown</cp:lastModifiedBy>
  <dcterms:created xsi:type="dcterms:W3CDTF">2026-01-11T16:10:04Z</dcterms:created>
  <dcterms:modified xsi:type="dcterms:W3CDTF">2026-01-11T16:10:04Z</dcterms:modified>
</cp:coreProperties>
</file>