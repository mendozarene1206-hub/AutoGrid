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ificio 1" state="visible" r:id="rId4"/>
    <sheet sheetId="2" name="Edificio 2" state="visible" r:id="rId5"/>
  </sheets>
  <calcPr calcId="171027"/>
</workbook>
</file>

<file path=xl/sharedStrings.xml><?xml version="1.0" encoding="utf-8"?>
<sst xmlns="http://schemas.openxmlformats.org/spreadsheetml/2006/main" count="2378" uniqueCount="774">
  <si>
    <t>PRESUPUESTO DE OBRA - EDIFICIO 1</t>
  </si>
  <si>
    <t>CÓDIGO</t>
  </si>
  <si>
    <t>CONCEPTO</t>
  </si>
  <si>
    <t>UNIDAD</t>
  </si>
  <si>
    <t>CANTIDAD</t>
  </si>
  <si>
    <t>P.U.</t>
  </si>
  <si>
    <t>IMPORTE</t>
  </si>
  <si>
    <t>IVA</t>
  </si>
  <si>
    <t>TOTAL</t>
  </si>
  <si>
    <t>01 - PRELIMINARES</t>
  </si>
  <si>
    <t>01.01</t>
  </si>
  <si>
    <t>Concepto de preliminares #1</t>
  </si>
  <si>
    <t>m²</t>
  </si>
  <si>
    <t>01.02</t>
  </si>
  <si>
    <t>Concepto de preliminares #2</t>
  </si>
  <si>
    <t>kg</t>
  </si>
  <si>
    <t>01.03</t>
  </si>
  <si>
    <t>Concepto de preliminares #3</t>
  </si>
  <si>
    <t>pza</t>
  </si>
  <si>
    <t>01.04</t>
  </si>
  <si>
    <t>Concepto de preliminares #4</t>
  </si>
  <si>
    <t>01.05</t>
  </si>
  <si>
    <t>Concepto de preliminares #5</t>
  </si>
  <si>
    <t>lot</t>
  </si>
  <si>
    <t>01.06</t>
  </si>
  <si>
    <t>Concepto de preliminares #6</t>
  </si>
  <si>
    <t>01.07</t>
  </si>
  <si>
    <t>Concepto de preliminares #7</t>
  </si>
  <si>
    <t>01.08</t>
  </si>
  <si>
    <t>Concepto de preliminares #8</t>
  </si>
  <si>
    <t>01.09</t>
  </si>
  <si>
    <t>Concepto de preliminares #9</t>
  </si>
  <si>
    <t>01.10</t>
  </si>
  <si>
    <t>Concepto de preliminares #10</t>
  </si>
  <si>
    <t>m³</t>
  </si>
  <si>
    <t>01.11</t>
  </si>
  <si>
    <t>Concepto de preliminares #11</t>
  </si>
  <si>
    <t>01.12</t>
  </si>
  <si>
    <t>Concepto de preliminares #12</t>
  </si>
  <si>
    <t>01.13</t>
  </si>
  <si>
    <t>Concepto de preliminares #13</t>
  </si>
  <si>
    <t>ml</t>
  </si>
  <si>
    <t>01.14</t>
  </si>
  <si>
    <t>Concepto de preliminares #14</t>
  </si>
  <si>
    <t>01.15</t>
  </si>
  <si>
    <t>Concepto de preliminares #15</t>
  </si>
  <si>
    <t/>
  </si>
  <si>
    <t>SUBTOTAL PRELIMINARES</t>
  </si>
  <si>
    <t>02 - CIMENTACIÓN</t>
  </si>
  <si>
    <t>02.01</t>
  </si>
  <si>
    <t>Concepto de cimentación #1</t>
  </si>
  <si>
    <t>02.02</t>
  </si>
  <si>
    <t>Concepto de cimentación #2</t>
  </si>
  <si>
    <t>02.03</t>
  </si>
  <si>
    <t>Concepto de cimentación #3</t>
  </si>
  <si>
    <t>02.04</t>
  </si>
  <si>
    <t>Concepto de cimentación #4</t>
  </si>
  <si>
    <t>02.05</t>
  </si>
  <si>
    <t>Concepto de cimentación #5</t>
  </si>
  <si>
    <t>02.06</t>
  </si>
  <si>
    <t>Concepto de cimentación #6</t>
  </si>
  <si>
    <t>02.07</t>
  </si>
  <si>
    <t>Concepto de cimentación #7</t>
  </si>
  <si>
    <t>02.08</t>
  </si>
  <si>
    <t>Concepto de cimentación #8</t>
  </si>
  <si>
    <t>02.09</t>
  </si>
  <si>
    <t>Concepto de cimentación #9</t>
  </si>
  <si>
    <t>02.10</t>
  </si>
  <si>
    <t>Concepto de cimentación #10</t>
  </si>
  <si>
    <t>02.11</t>
  </si>
  <si>
    <t>Concepto de cimentación #11</t>
  </si>
  <si>
    <t>02.12</t>
  </si>
  <si>
    <t>Concepto de cimentación #12</t>
  </si>
  <si>
    <t>02.13</t>
  </si>
  <si>
    <t>Concepto de cimentación #13</t>
  </si>
  <si>
    <t>02.14</t>
  </si>
  <si>
    <t>Concepto de cimentación #14</t>
  </si>
  <si>
    <t>02.15</t>
  </si>
  <si>
    <t>Concepto de cimentación #15</t>
  </si>
  <si>
    <t>02.16</t>
  </si>
  <si>
    <t>Concepto de cimentación #16</t>
  </si>
  <si>
    <t>02.17</t>
  </si>
  <si>
    <t>Concepto de cimentación #17</t>
  </si>
  <si>
    <t>02.18</t>
  </si>
  <si>
    <t>Concepto de cimentación #18</t>
  </si>
  <si>
    <t>02.19</t>
  </si>
  <si>
    <t>Concepto de cimentación #19</t>
  </si>
  <si>
    <t>02.20</t>
  </si>
  <si>
    <t>Concepto de cimentación #20</t>
  </si>
  <si>
    <t>02.21</t>
  </si>
  <si>
    <t>Concepto de cimentación #21</t>
  </si>
  <si>
    <t>02.22</t>
  </si>
  <si>
    <t>Concepto de cimentación #22</t>
  </si>
  <si>
    <t>02.23</t>
  </si>
  <si>
    <t>Concepto de cimentación #23</t>
  </si>
  <si>
    <t>02.24</t>
  </si>
  <si>
    <t>Concepto de cimentación #24</t>
  </si>
  <si>
    <t>02.25</t>
  </si>
  <si>
    <t>Concepto de cimentación #25</t>
  </si>
  <si>
    <t>SUBTOTAL CIMENTACIÓN</t>
  </si>
  <si>
    <t>03 - ESTRUCTURA</t>
  </si>
  <si>
    <t>03.01</t>
  </si>
  <si>
    <t>Concepto de estructura #1</t>
  </si>
  <si>
    <t>03.02</t>
  </si>
  <si>
    <t>Concepto de estructura #2</t>
  </si>
  <si>
    <t>03.03</t>
  </si>
  <si>
    <t>Concepto de estructura #3</t>
  </si>
  <si>
    <t>03.04</t>
  </si>
  <si>
    <t>Concepto de estructura #4</t>
  </si>
  <si>
    <t>03.05</t>
  </si>
  <si>
    <t>Concepto de estructura #5</t>
  </si>
  <si>
    <t>03.06</t>
  </si>
  <si>
    <t>Concepto de estructura #6</t>
  </si>
  <si>
    <t>03.07</t>
  </si>
  <si>
    <t>Concepto de estructura #7</t>
  </si>
  <si>
    <t>03.08</t>
  </si>
  <si>
    <t>Concepto de estructura #8</t>
  </si>
  <si>
    <t>03.09</t>
  </si>
  <si>
    <t>Concepto de estructura #9</t>
  </si>
  <si>
    <t>03.10</t>
  </si>
  <si>
    <t>Concepto de estructura #10</t>
  </si>
  <si>
    <t>03.11</t>
  </si>
  <si>
    <t>Concepto de estructura #11</t>
  </si>
  <si>
    <t>03.12</t>
  </si>
  <si>
    <t>Concepto de estructura #12</t>
  </si>
  <si>
    <t>03.13</t>
  </si>
  <si>
    <t>Concepto de estructura #13</t>
  </si>
  <si>
    <t>03.14</t>
  </si>
  <si>
    <t>Concepto de estructura #14</t>
  </si>
  <si>
    <t>03.15</t>
  </si>
  <si>
    <t>Concepto de estructura #15</t>
  </si>
  <si>
    <t>03.16</t>
  </si>
  <si>
    <t>Concepto de estructura #16</t>
  </si>
  <si>
    <t>03.17</t>
  </si>
  <si>
    <t>Concepto de estructura #17</t>
  </si>
  <si>
    <t>03.18</t>
  </si>
  <si>
    <t>Concepto de estructura #18</t>
  </si>
  <si>
    <t>03.19</t>
  </si>
  <si>
    <t>Concepto de estructura #19</t>
  </si>
  <si>
    <t>03.20</t>
  </si>
  <si>
    <t>Concepto de estructura #20</t>
  </si>
  <si>
    <t>03.21</t>
  </si>
  <si>
    <t>Concepto de estructura #21</t>
  </si>
  <si>
    <t>03.22</t>
  </si>
  <si>
    <t>Concepto de estructura #22</t>
  </si>
  <si>
    <t>03.23</t>
  </si>
  <si>
    <t>Concepto de estructura #23</t>
  </si>
  <si>
    <t>03.24</t>
  </si>
  <si>
    <t>Concepto de estructura #24</t>
  </si>
  <si>
    <t>03.25</t>
  </si>
  <si>
    <t>Concepto de estructura #25</t>
  </si>
  <si>
    <t>03.26</t>
  </si>
  <si>
    <t>Concepto de estructura #26</t>
  </si>
  <si>
    <t>03.27</t>
  </si>
  <si>
    <t>Concepto de estructura #27</t>
  </si>
  <si>
    <t>03.28</t>
  </si>
  <si>
    <t>Concepto de estructura #28</t>
  </si>
  <si>
    <t>03.29</t>
  </si>
  <si>
    <t>Concepto de estructura #29</t>
  </si>
  <si>
    <t>03.30</t>
  </si>
  <si>
    <t>Concepto de estructura #30</t>
  </si>
  <si>
    <t>03.31</t>
  </si>
  <si>
    <t>Concepto de estructura #31</t>
  </si>
  <si>
    <t>03.32</t>
  </si>
  <si>
    <t>Concepto de estructura #32</t>
  </si>
  <si>
    <t>03.33</t>
  </si>
  <si>
    <t>Concepto de estructura #33</t>
  </si>
  <si>
    <t>03.34</t>
  </si>
  <si>
    <t>Concepto de estructura #34</t>
  </si>
  <si>
    <t>03.35</t>
  </si>
  <si>
    <t>Concepto de estructura #35</t>
  </si>
  <si>
    <t>03.36</t>
  </si>
  <si>
    <t>Concepto de estructura #36</t>
  </si>
  <si>
    <t>03.37</t>
  </si>
  <si>
    <t>Concepto de estructura #37</t>
  </si>
  <si>
    <t>03.38</t>
  </si>
  <si>
    <t>Concepto de estructura #38</t>
  </si>
  <si>
    <t>03.39</t>
  </si>
  <si>
    <t>Concepto de estructura #39</t>
  </si>
  <si>
    <t>03.40</t>
  </si>
  <si>
    <t>Concepto de estructura #40</t>
  </si>
  <si>
    <t>SUBTOTAL ESTRUCTURA</t>
  </si>
  <si>
    <t>04 - ALBAÑILERÍA</t>
  </si>
  <si>
    <t>04.01</t>
  </si>
  <si>
    <t>Concepto de albañilería #1</t>
  </si>
  <si>
    <t>04.02</t>
  </si>
  <si>
    <t>Concepto de albañilería #2</t>
  </si>
  <si>
    <t>04.03</t>
  </si>
  <si>
    <t>Concepto de albañilería #3</t>
  </si>
  <si>
    <t>04.04</t>
  </si>
  <si>
    <t>Concepto de albañilería #4</t>
  </si>
  <si>
    <t>04.05</t>
  </si>
  <si>
    <t>Concepto de albañilería #5</t>
  </si>
  <si>
    <t>04.06</t>
  </si>
  <si>
    <t>Concepto de albañilería #6</t>
  </si>
  <si>
    <t>04.07</t>
  </si>
  <si>
    <t>Concepto de albañilería #7</t>
  </si>
  <si>
    <t>04.08</t>
  </si>
  <si>
    <t>Concepto de albañilería #8</t>
  </si>
  <si>
    <t>04.09</t>
  </si>
  <si>
    <t>Concepto de albañilería #9</t>
  </si>
  <si>
    <t>04.10</t>
  </si>
  <si>
    <t>Concepto de albañilería #10</t>
  </si>
  <si>
    <t>04.11</t>
  </si>
  <si>
    <t>Concepto de albañilería #11</t>
  </si>
  <si>
    <t>04.12</t>
  </si>
  <si>
    <t>Concepto de albañilería #12</t>
  </si>
  <si>
    <t>04.13</t>
  </si>
  <si>
    <t>Concepto de albañilería #13</t>
  </si>
  <si>
    <t>04.14</t>
  </si>
  <si>
    <t>Concepto de albañilería #14</t>
  </si>
  <si>
    <t>04.15</t>
  </si>
  <si>
    <t>Concepto de albañilería #15</t>
  </si>
  <si>
    <t>04.16</t>
  </si>
  <si>
    <t>Concepto de albañilería #16</t>
  </si>
  <si>
    <t>04.17</t>
  </si>
  <si>
    <t>Concepto de albañilería #17</t>
  </si>
  <si>
    <t>04.18</t>
  </si>
  <si>
    <t>Concepto de albañilería #18</t>
  </si>
  <si>
    <t>04.19</t>
  </si>
  <si>
    <t>Concepto de albañilería #19</t>
  </si>
  <si>
    <t>04.20</t>
  </si>
  <si>
    <t>Concepto de albañilería #20</t>
  </si>
  <si>
    <t>04.21</t>
  </si>
  <si>
    <t>Concepto de albañilería #21</t>
  </si>
  <si>
    <t>04.22</t>
  </si>
  <si>
    <t>Concepto de albañilería #22</t>
  </si>
  <si>
    <t>04.23</t>
  </si>
  <si>
    <t>Concepto de albañilería #23</t>
  </si>
  <si>
    <t>04.24</t>
  </si>
  <si>
    <t>Concepto de albañilería #24</t>
  </si>
  <si>
    <t>04.25</t>
  </si>
  <si>
    <t>Concepto de albañilería #25</t>
  </si>
  <si>
    <t>04.26</t>
  </si>
  <si>
    <t>Concepto de albañilería #26</t>
  </si>
  <si>
    <t>04.27</t>
  </si>
  <si>
    <t>Concepto de albañilería #27</t>
  </si>
  <si>
    <t>04.28</t>
  </si>
  <si>
    <t>Concepto de albañilería #28</t>
  </si>
  <si>
    <t>04.29</t>
  </si>
  <si>
    <t>Concepto de albañilería #29</t>
  </si>
  <si>
    <t>04.30</t>
  </si>
  <si>
    <t>Concepto de albañilería #30</t>
  </si>
  <si>
    <t>SUBTOTAL ALBAÑILERÍA</t>
  </si>
  <si>
    <t>05 - INSTALACIÓN HIDRÁULICA</t>
  </si>
  <si>
    <t>05.01</t>
  </si>
  <si>
    <t>Concepto de instalación hidráulica #1</t>
  </si>
  <si>
    <t>05.02</t>
  </si>
  <si>
    <t>Concepto de instalación hidráulica #2</t>
  </si>
  <si>
    <t>05.03</t>
  </si>
  <si>
    <t>Concepto de instalación hidráulica #3</t>
  </si>
  <si>
    <t>05.04</t>
  </si>
  <si>
    <t>Concepto de instalación hidráulica #4</t>
  </si>
  <si>
    <t>05.05</t>
  </si>
  <si>
    <t>Concepto de instalación hidráulica #5</t>
  </si>
  <si>
    <t>05.06</t>
  </si>
  <si>
    <t>Concepto de instalación hidráulica #6</t>
  </si>
  <si>
    <t>05.07</t>
  </si>
  <si>
    <t>Concepto de instalación hidráulica #7</t>
  </si>
  <si>
    <t>05.08</t>
  </si>
  <si>
    <t>Concepto de instalación hidráulica #8</t>
  </si>
  <si>
    <t>05.09</t>
  </si>
  <si>
    <t>Concepto de instalación hidráulica #9</t>
  </si>
  <si>
    <t>05.10</t>
  </si>
  <si>
    <t>Concepto de instalación hidráulica #10</t>
  </si>
  <si>
    <t>05.11</t>
  </si>
  <si>
    <t>Concepto de instalación hidráulica #11</t>
  </si>
  <si>
    <t>05.12</t>
  </si>
  <si>
    <t>Concepto de instalación hidráulica #12</t>
  </si>
  <si>
    <t>05.13</t>
  </si>
  <si>
    <t>Concepto de instalación hidráulica #13</t>
  </si>
  <si>
    <t>05.14</t>
  </si>
  <si>
    <t>Concepto de instalación hidráulica #14</t>
  </si>
  <si>
    <t>05.15</t>
  </si>
  <si>
    <t>Concepto de instalación hidráulica #15</t>
  </si>
  <si>
    <t>05.16</t>
  </si>
  <si>
    <t>Concepto de instalación hidráulica #16</t>
  </si>
  <si>
    <t>05.17</t>
  </si>
  <si>
    <t>Concepto de instalación hidráulica #17</t>
  </si>
  <si>
    <t>05.18</t>
  </si>
  <si>
    <t>Concepto de instalación hidráulica #18</t>
  </si>
  <si>
    <t>05.19</t>
  </si>
  <si>
    <t>Concepto de instalación hidráulica #19</t>
  </si>
  <si>
    <t>05.20</t>
  </si>
  <si>
    <t>Concepto de instalación hidráulica #20</t>
  </si>
  <si>
    <t>05.21</t>
  </si>
  <si>
    <t>Concepto de instalación hidráulica #21</t>
  </si>
  <si>
    <t>05.22</t>
  </si>
  <si>
    <t>Concepto de instalación hidráulica #22</t>
  </si>
  <si>
    <t>05.23</t>
  </si>
  <si>
    <t>Concepto de instalación hidráulica #23</t>
  </si>
  <si>
    <t>05.24</t>
  </si>
  <si>
    <t>Concepto de instalación hidráulica #24</t>
  </si>
  <si>
    <t>05.25</t>
  </si>
  <si>
    <t>Concepto de instalación hidráulica #25</t>
  </si>
  <si>
    <t>05.26</t>
  </si>
  <si>
    <t>Concepto de instalación hidráulica #26</t>
  </si>
  <si>
    <t>05.27</t>
  </si>
  <si>
    <t>Concepto de instalación hidráulica #27</t>
  </si>
  <si>
    <t>05.28</t>
  </si>
  <si>
    <t>Concepto de instalación hidráulica #28</t>
  </si>
  <si>
    <t>05.29</t>
  </si>
  <si>
    <t>Concepto de instalación hidráulica #29</t>
  </si>
  <si>
    <t>05.30</t>
  </si>
  <si>
    <t>Concepto de instalación hidráulica #30</t>
  </si>
  <si>
    <t>05.31</t>
  </si>
  <si>
    <t>Concepto de instalación hidráulica #31</t>
  </si>
  <si>
    <t>05.32</t>
  </si>
  <si>
    <t>Concepto de instalación hidráulica #32</t>
  </si>
  <si>
    <t>05.33</t>
  </si>
  <si>
    <t>Concepto de instalación hidráulica #33</t>
  </si>
  <si>
    <t>05.34</t>
  </si>
  <si>
    <t>Concepto de instalación hidráulica #34</t>
  </si>
  <si>
    <t>05.35</t>
  </si>
  <si>
    <t>Concepto de instalación hidráulica #35</t>
  </si>
  <si>
    <t>SUBTOTAL INSTALACIÓN HIDRÁULICA</t>
  </si>
  <si>
    <t>06 - INSTALACIÓN SANITARIA</t>
  </si>
  <si>
    <t>06.01</t>
  </si>
  <si>
    <t>Concepto de instalación sanitaria #1</t>
  </si>
  <si>
    <t>06.02</t>
  </si>
  <si>
    <t>Concepto de instalación sanitaria #2</t>
  </si>
  <si>
    <t>06.03</t>
  </si>
  <si>
    <t>Concepto de instalación sanitaria #3</t>
  </si>
  <si>
    <t>06.04</t>
  </si>
  <si>
    <t>Concepto de instalación sanitaria #4</t>
  </si>
  <si>
    <t>06.05</t>
  </si>
  <si>
    <t>Concepto de instalación sanitaria #5</t>
  </si>
  <si>
    <t>06.06</t>
  </si>
  <si>
    <t>Concepto de instalación sanitaria #6</t>
  </si>
  <si>
    <t>06.07</t>
  </si>
  <si>
    <t>Concepto de instalación sanitaria #7</t>
  </si>
  <si>
    <t>06.08</t>
  </si>
  <si>
    <t>Concepto de instalación sanitaria #8</t>
  </si>
  <si>
    <t>06.09</t>
  </si>
  <si>
    <t>Concepto de instalación sanitaria #9</t>
  </si>
  <si>
    <t>06.10</t>
  </si>
  <si>
    <t>Concepto de instalación sanitaria #10</t>
  </si>
  <si>
    <t>06.11</t>
  </si>
  <si>
    <t>Concepto de instalación sanitaria #11</t>
  </si>
  <si>
    <t>06.12</t>
  </si>
  <si>
    <t>Concepto de instalación sanitaria #12</t>
  </si>
  <si>
    <t>06.13</t>
  </si>
  <si>
    <t>Concepto de instalación sanitaria #13</t>
  </si>
  <si>
    <t>06.14</t>
  </si>
  <si>
    <t>Concepto de instalación sanitaria #14</t>
  </si>
  <si>
    <t>06.15</t>
  </si>
  <si>
    <t>Concepto de instalación sanitaria #15</t>
  </si>
  <si>
    <t>06.16</t>
  </si>
  <si>
    <t>Concepto de instalación sanitaria #16</t>
  </si>
  <si>
    <t>06.17</t>
  </si>
  <si>
    <t>Concepto de instalación sanitaria #17</t>
  </si>
  <si>
    <t>06.18</t>
  </si>
  <si>
    <t>Concepto de instalación sanitaria #18</t>
  </si>
  <si>
    <t>06.19</t>
  </si>
  <si>
    <t>Concepto de instalación sanitaria #19</t>
  </si>
  <si>
    <t>06.20</t>
  </si>
  <si>
    <t>Concepto de instalación sanitaria #20</t>
  </si>
  <si>
    <t>06.21</t>
  </si>
  <si>
    <t>Concepto de instalación sanitaria #21</t>
  </si>
  <si>
    <t>06.22</t>
  </si>
  <si>
    <t>Concepto de instalación sanitaria #22</t>
  </si>
  <si>
    <t>06.23</t>
  </si>
  <si>
    <t>Concepto de instalación sanitaria #23</t>
  </si>
  <si>
    <t>06.24</t>
  </si>
  <si>
    <t>Concepto de instalación sanitaria #24</t>
  </si>
  <si>
    <t>06.25</t>
  </si>
  <si>
    <t>Concepto de instalación sanitaria #25</t>
  </si>
  <si>
    <t>SUBTOTAL INSTALACIÓN SANITARIA</t>
  </si>
  <si>
    <t>07 - INSTALACIÓN ELÉCTRICA</t>
  </si>
  <si>
    <t>07.01</t>
  </si>
  <si>
    <t>Concepto de instalación eléctrica #1</t>
  </si>
  <si>
    <t>07.02</t>
  </si>
  <si>
    <t>Concepto de instalación eléctrica #2</t>
  </si>
  <si>
    <t>07.03</t>
  </si>
  <si>
    <t>Concepto de instalación eléctrica #3</t>
  </si>
  <si>
    <t>07.04</t>
  </si>
  <si>
    <t>Concepto de instalación eléctrica #4</t>
  </si>
  <si>
    <t>07.05</t>
  </si>
  <si>
    <t>Concepto de instalación eléctrica #5</t>
  </si>
  <si>
    <t>07.06</t>
  </si>
  <si>
    <t>Concepto de instalación eléctrica #6</t>
  </si>
  <si>
    <t>07.07</t>
  </si>
  <si>
    <t>Concepto de instalación eléctrica #7</t>
  </si>
  <si>
    <t>07.08</t>
  </si>
  <si>
    <t>Concepto de instalación eléctrica #8</t>
  </si>
  <si>
    <t>07.09</t>
  </si>
  <si>
    <t>Concepto de instalación eléctrica #9</t>
  </si>
  <si>
    <t>07.10</t>
  </si>
  <si>
    <t>Concepto de instalación eléctrica #10</t>
  </si>
  <si>
    <t>07.11</t>
  </si>
  <si>
    <t>Concepto de instalación eléctrica #11</t>
  </si>
  <si>
    <t>07.12</t>
  </si>
  <si>
    <t>Concepto de instalación eléctrica #12</t>
  </si>
  <si>
    <t>07.13</t>
  </si>
  <si>
    <t>Concepto de instalación eléctrica #13</t>
  </si>
  <si>
    <t>07.14</t>
  </si>
  <si>
    <t>Concepto de instalación eléctrica #14</t>
  </si>
  <si>
    <t>07.15</t>
  </si>
  <si>
    <t>Concepto de instalación eléctrica #15</t>
  </si>
  <si>
    <t>07.16</t>
  </si>
  <si>
    <t>Concepto de instalación eléctrica #16</t>
  </si>
  <si>
    <t>07.17</t>
  </si>
  <si>
    <t>Concepto de instalación eléctrica #17</t>
  </si>
  <si>
    <t>07.18</t>
  </si>
  <si>
    <t>Concepto de instalación eléctrica #18</t>
  </si>
  <si>
    <t>07.19</t>
  </si>
  <si>
    <t>Concepto de instalación eléctrica #19</t>
  </si>
  <si>
    <t>07.20</t>
  </si>
  <si>
    <t>Concepto de instalación eléctrica #20</t>
  </si>
  <si>
    <t>07.21</t>
  </si>
  <si>
    <t>Concepto de instalación eléctrica #21</t>
  </si>
  <si>
    <t>07.22</t>
  </si>
  <si>
    <t>Concepto de instalación eléctrica #22</t>
  </si>
  <si>
    <t>07.23</t>
  </si>
  <si>
    <t>Concepto de instalación eléctrica #23</t>
  </si>
  <si>
    <t>07.24</t>
  </si>
  <si>
    <t>Concepto de instalación eléctrica #24</t>
  </si>
  <si>
    <t>07.25</t>
  </si>
  <si>
    <t>Concepto de instalación eléctrica #25</t>
  </si>
  <si>
    <t>07.26</t>
  </si>
  <si>
    <t>Concepto de instalación eléctrica #26</t>
  </si>
  <si>
    <t>07.27</t>
  </si>
  <si>
    <t>Concepto de instalación eléctrica #27</t>
  </si>
  <si>
    <t>07.28</t>
  </si>
  <si>
    <t>Concepto de instalación eléctrica #28</t>
  </si>
  <si>
    <t>07.29</t>
  </si>
  <si>
    <t>Concepto de instalación eléctrica #29</t>
  </si>
  <si>
    <t>07.30</t>
  </si>
  <si>
    <t>Concepto de instalación eléctrica #30</t>
  </si>
  <si>
    <t>07.31</t>
  </si>
  <si>
    <t>Concepto de instalación eléctrica #31</t>
  </si>
  <si>
    <t>07.32</t>
  </si>
  <si>
    <t>Concepto de instalación eléctrica #32</t>
  </si>
  <si>
    <t>07.33</t>
  </si>
  <si>
    <t>Concepto de instalación eléctrica #33</t>
  </si>
  <si>
    <t>07.34</t>
  </si>
  <si>
    <t>Concepto de instalación eléctrica #34</t>
  </si>
  <si>
    <t>07.35</t>
  </si>
  <si>
    <t>Concepto de instalación eléctrica #35</t>
  </si>
  <si>
    <t>07.36</t>
  </si>
  <si>
    <t>Concepto de instalación eléctrica #36</t>
  </si>
  <si>
    <t>07.37</t>
  </si>
  <si>
    <t>Concepto de instalación eléctrica #37</t>
  </si>
  <si>
    <t>07.38</t>
  </si>
  <si>
    <t>Concepto de instalación eléctrica #38</t>
  </si>
  <si>
    <t>07.39</t>
  </si>
  <si>
    <t>Concepto de instalación eléctrica #39</t>
  </si>
  <si>
    <t>07.40</t>
  </si>
  <si>
    <t>Concepto de instalación eléctrica #40</t>
  </si>
  <si>
    <t>07.41</t>
  </si>
  <si>
    <t>Concepto de instalación eléctrica #41</t>
  </si>
  <si>
    <t>07.42</t>
  </si>
  <si>
    <t>Concepto de instalación eléctrica #42</t>
  </si>
  <si>
    <t>07.43</t>
  </si>
  <si>
    <t>Concepto de instalación eléctrica #43</t>
  </si>
  <si>
    <t>07.44</t>
  </si>
  <si>
    <t>Concepto de instalación eléctrica #44</t>
  </si>
  <si>
    <t>07.45</t>
  </si>
  <si>
    <t>Concepto de instalación eléctrica #45</t>
  </si>
  <si>
    <t>SUBTOTAL INSTALACIÓN ELÉCTRICA</t>
  </si>
  <si>
    <t>08 - ACABADOS</t>
  </si>
  <si>
    <t>08.01</t>
  </si>
  <si>
    <t>Concepto de acabados #1</t>
  </si>
  <si>
    <t>08.02</t>
  </si>
  <si>
    <t>Concepto de acabados #2</t>
  </si>
  <si>
    <t>08.03</t>
  </si>
  <si>
    <t>Concepto de acabados #3</t>
  </si>
  <si>
    <t>08.04</t>
  </si>
  <si>
    <t>Concepto de acabados #4</t>
  </si>
  <si>
    <t>08.05</t>
  </si>
  <si>
    <t>Concepto de acabados #5</t>
  </si>
  <si>
    <t>08.06</t>
  </si>
  <si>
    <t>Concepto de acabados #6</t>
  </si>
  <si>
    <t>08.07</t>
  </si>
  <si>
    <t>Concepto de acabados #7</t>
  </si>
  <si>
    <t>08.08</t>
  </si>
  <si>
    <t>Concepto de acabados #8</t>
  </si>
  <si>
    <t>08.09</t>
  </si>
  <si>
    <t>Concepto de acabados #9</t>
  </si>
  <si>
    <t>08.10</t>
  </si>
  <si>
    <t>Concepto de acabados #10</t>
  </si>
  <si>
    <t>08.11</t>
  </si>
  <si>
    <t>Concepto de acabados #11</t>
  </si>
  <si>
    <t>08.12</t>
  </si>
  <si>
    <t>Concepto de acabados #12</t>
  </si>
  <si>
    <t>08.13</t>
  </si>
  <si>
    <t>Concepto de acabados #13</t>
  </si>
  <si>
    <t>08.14</t>
  </si>
  <si>
    <t>Concepto de acabados #14</t>
  </si>
  <si>
    <t>08.15</t>
  </si>
  <si>
    <t>Concepto de acabados #15</t>
  </si>
  <si>
    <t>08.16</t>
  </si>
  <si>
    <t>Concepto de acabados #16</t>
  </si>
  <si>
    <t>08.17</t>
  </si>
  <si>
    <t>Concepto de acabados #17</t>
  </si>
  <si>
    <t>08.18</t>
  </si>
  <si>
    <t>Concepto de acabados #18</t>
  </si>
  <si>
    <t>08.19</t>
  </si>
  <si>
    <t>Concepto de acabados #19</t>
  </si>
  <si>
    <t>08.20</t>
  </si>
  <si>
    <t>Concepto de acabados #20</t>
  </si>
  <si>
    <t>08.21</t>
  </si>
  <si>
    <t>Concepto de acabados #21</t>
  </si>
  <si>
    <t>08.22</t>
  </si>
  <si>
    <t>Concepto de acabados #22</t>
  </si>
  <si>
    <t>08.23</t>
  </si>
  <si>
    <t>Concepto de acabados #23</t>
  </si>
  <si>
    <t>08.24</t>
  </si>
  <si>
    <t>Concepto de acabados #24</t>
  </si>
  <si>
    <t>08.25</t>
  </si>
  <si>
    <t>Concepto de acabados #25</t>
  </si>
  <si>
    <t>08.26</t>
  </si>
  <si>
    <t>Concepto de acabados #26</t>
  </si>
  <si>
    <t>08.27</t>
  </si>
  <si>
    <t>Concepto de acabados #27</t>
  </si>
  <si>
    <t>08.28</t>
  </si>
  <si>
    <t>Concepto de acabados #28</t>
  </si>
  <si>
    <t>08.29</t>
  </si>
  <si>
    <t>Concepto de acabados #29</t>
  </si>
  <si>
    <t>08.30</t>
  </si>
  <si>
    <t>Concepto de acabados #30</t>
  </si>
  <si>
    <t>08.31</t>
  </si>
  <si>
    <t>Concepto de acabados #31</t>
  </si>
  <si>
    <t>08.32</t>
  </si>
  <si>
    <t>Concepto de acabados #32</t>
  </si>
  <si>
    <t>08.33</t>
  </si>
  <si>
    <t>Concepto de acabados #33</t>
  </si>
  <si>
    <t>08.34</t>
  </si>
  <si>
    <t>Concepto de acabados #34</t>
  </si>
  <si>
    <t>08.35</t>
  </si>
  <si>
    <t>Concepto de acabados #35</t>
  </si>
  <si>
    <t>08.36</t>
  </si>
  <si>
    <t>Concepto de acabados #36</t>
  </si>
  <si>
    <t>08.37</t>
  </si>
  <si>
    <t>Concepto de acabados #37</t>
  </si>
  <si>
    <t>08.38</t>
  </si>
  <si>
    <t>Concepto de acabados #38</t>
  </si>
  <si>
    <t>08.39</t>
  </si>
  <si>
    <t>Concepto de acabados #39</t>
  </si>
  <si>
    <t>08.40</t>
  </si>
  <si>
    <t>Concepto de acabados #40</t>
  </si>
  <si>
    <t>08.41</t>
  </si>
  <si>
    <t>Concepto de acabados #41</t>
  </si>
  <si>
    <t>08.42</t>
  </si>
  <si>
    <t>Concepto de acabados #42</t>
  </si>
  <si>
    <t>08.43</t>
  </si>
  <si>
    <t>Concepto de acabados #43</t>
  </si>
  <si>
    <t>08.44</t>
  </si>
  <si>
    <t>Concepto de acabados #44</t>
  </si>
  <si>
    <t>08.45</t>
  </si>
  <si>
    <t>Concepto de acabados #45</t>
  </si>
  <si>
    <t>08.46</t>
  </si>
  <si>
    <t>Concepto de acabados #46</t>
  </si>
  <si>
    <t>08.47</t>
  </si>
  <si>
    <t>Concepto de acabados #47</t>
  </si>
  <si>
    <t>08.48</t>
  </si>
  <si>
    <t>Concepto de acabados #48</t>
  </si>
  <si>
    <t>08.49</t>
  </si>
  <si>
    <t>Concepto de acabados #49</t>
  </si>
  <si>
    <t>08.50</t>
  </si>
  <si>
    <t>Concepto de acabados #50</t>
  </si>
  <si>
    <t>08.51</t>
  </si>
  <si>
    <t>Concepto de acabados #51</t>
  </si>
  <si>
    <t>08.52</t>
  </si>
  <si>
    <t>Concepto de acabados #52</t>
  </si>
  <si>
    <t>08.53</t>
  </si>
  <si>
    <t>Concepto de acabados #53</t>
  </si>
  <si>
    <t>08.54</t>
  </si>
  <si>
    <t>Concepto de acabados #54</t>
  </si>
  <si>
    <t>08.55</t>
  </si>
  <si>
    <t>Concepto de acabados #55</t>
  </si>
  <si>
    <t>08.56</t>
  </si>
  <si>
    <t>Concepto de acabados #56</t>
  </si>
  <si>
    <t>08.57</t>
  </si>
  <si>
    <t>Concepto de acabados #57</t>
  </si>
  <si>
    <t>08.58</t>
  </si>
  <si>
    <t>Concepto de acabados #58</t>
  </si>
  <si>
    <t>08.59</t>
  </si>
  <si>
    <t>Concepto de acabados #59</t>
  </si>
  <si>
    <t>08.60</t>
  </si>
  <si>
    <t>Concepto de acabados #60</t>
  </si>
  <si>
    <t>SUBTOTAL ACABADOS</t>
  </si>
  <si>
    <t>09 - CARPINTERÍA</t>
  </si>
  <si>
    <t>09.01</t>
  </si>
  <si>
    <t>Concepto de carpintería #1</t>
  </si>
  <si>
    <t>09.02</t>
  </si>
  <si>
    <t>Concepto de carpintería #2</t>
  </si>
  <si>
    <t>09.03</t>
  </si>
  <si>
    <t>Concepto de carpintería #3</t>
  </si>
  <si>
    <t>09.04</t>
  </si>
  <si>
    <t>Concepto de carpintería #4</t>
  </si>
  <si>
    <t>09.05</t>
  </si>
  <si>
    <t>Concepto de carpintería #5</t>
  </si>
  <si>
    <t>09.06</t>
  </si>
  <si>
    <t>Concepto de carpintería #6</t>
  </si>
  <si>
    <t>09.07</t>
  </si>
  <si>
    <t>Concepto de carpintería #7</t>
  </si>
  <si>
    <t>09.08</t>
  </si>
  <si>
    <t>Concepto de carpintería #8</t>
  </si>
  <si>
    <t>09.09</t>
  </si>
  <si>
    <t>Concepto de carpintería #9</t>
  </si>
  <si>
    <t>09.10</t>
  </si>
  <si>
    <t>Concepto de carpintería #10</t>
  </si>
  <si>
    <t>09.11</t>
  </si>
  <si>
    <t>Concepto de carpintería #11</t>
  </si>
  <si>
    <t>09.12</t>
  </si>
  <si>
    <t>Concepto de carpintería #12</t>
  </si>
  <si>
    <t>09.13</t>
  </si>
  <si>
    <t>Concepto de carpintería #13</t>
  </si>
  <si>
    <t>09.14</t>
  </si>
  <si>
    <t>Concepto de carpintería #14</t>
  </si>
  <si>
    <t>09.15</t>
  </si>
  <si>
    <t>Concepto de carpintería #15</t>
  </si>
  <si>
    <t>09.16</t>
  </si>
  <si>
    <t>Concepto de carpintería #16</t>
  </si>
  <si>
    <t>09.17</t>
  </si>
  <si>
    <t>Concepto de carpintería #17</t>
  </si>
  <si>
    <t>09.18</t>
  </si>
  <si>
    <t>Concepto de carpintería #18</t>
  </si>
  <si>
    <t>09.19</t>
  </si>
  <si>
    <t>Concepto de carpintería #19</t>
  </si>
  <si>
    <t>09.20</t>
  </si>
  <si>
    <t>Concepto de carpintería #20</t>
  </si>
  <si>
    <t>SUBTOTAL CARPINTERÍA</t>
  </si>
  <si>
    <t>10 - HERRERÍA</t>
  </si>
  <si>
    <t>10.01</t>
  </si>
  <si>
    <t>Concepto de herrería #1</t>
  </si>
  <si>
    <t>10.02</t>
  </si>
  <si>
    <t>Concepto de herrería #2</t>
  </si>
  <si>
    <t>10.03</t>
  </si>
  <si>
    <t>Concepto de herrería #3</t>
  </si>
  <si>
    <t>10.04</t>
  </si>
  <si>
    <t>Concepto de herrería #4</t>
  </si>
  <si>
    <t>10.05</t>
  </si>
  <si>
    <t>Concepto de herrería #5</t>
  </si>
  <si>
    <t>10.06</t>
  </si>
  <si>
    <t>Concepto de herrería #6</t>
  </si>
  <si>
    <t>10.07</t>
  </si>
  <si>
    <t>Concepto de herrería #7</t>
  </si>
  <si>
    <t>10.08</t>
  </si>
  <si>
    <t>Concepto de herrería #8</t>
  </si>
  <si>
    <t>10.09</t>
  </si>
  <si>
    <t>Concepto de herrería #9</t>
  </si>
  <si>
    <t>10.10</t>
  </si>
  <si>
    <t>Concepto de herrería #10</t>
  </si>
  <si>
    <t>10.11</t>
  </si>
  <si>
    <t>Concepto de herrería #11</t>
  </si>
  <si>
    <t>10.12</t>
  </si>
  <si>
    <t>Concepto de herrería #12</t>
  </si>
  <si>
    <t>10.13</t>
  </si>
  <si>
    <t>Concepto de herrería #13</t>
  </si>
  <si>
    <t>10.14</t>
  </si>
  <si>
    <t>Concepto de herrería #14</t>
  </si>
  <si>
    <t>10.15</t>
  </si>
  <si>
    <t>Concepto de herrería #15</t>
  </si>
  <si>
    <t>SUBTOTAL HERRERÍA</t>
  </si>
  <si>
    <t>11 - CANCELERÍA</t>
  </si>
  <si>
    <t>11.01</t>
  </si>
  <si>
    <t>Concepto de cancelería #1</t>
  </si>
  <si>
    <t>11.02</t>
  </si>
  <si>
    <t>Concepto de cancelería #2</t>
  </si>
  <si>
    <t>11.03</t>
  </si>
  <si>
    <t>Concepto de cancelería #3</t>
  </si>
  <si>
    <t>11.04</t>
  </si>
  <si>
    <t>Concepto de cancelería #4</t>
  </si>
  <si>
    <t>11.05</t>
  </si>
  <si>
    <t>Concepto de cancelería #5</t>
  </si>
  <si>
    <t>11.06</t>
  </si>
  <si>
    <t>Concepto de cancelería #6</t>
  </si>
  <si>
    <t>11.07</t>
  </si>
  <si>
    <t>Concepto de cancelería #7</t>
  </si>
  <si>
    <t>11.08</t>
  </si>
  <si>
    <t>Concepto de cancelería #8</t>
  </si>
  <si>
    <t>11.09</t>
  </si>
  <si>
    <t>Concepto de cancelería #9</t>
  </si>
  <si>
    <t>11.10</t>
  </si>
  <si>
    <t>Concepto de cancelería #10</t>
  </si>
  <si>
    <t>11.11</t>
  </si>
  <si>
    <t>Concepto de cancelería #11</t>
  </si>
  <si>
    <t>11.12</t>
  </si>
  <si>
    <t>Concepto de cancelería #12</t>
  </si>
  <si>
    <t>SUBTOTAL CANCELERÍA</t>
  </si>
  <si>
    <t>12 - PINTURA</t>
  </si>
  <si>
    <t>12.01</t>
  </si>
  <si>
    <t>Concepto de pintura #1</t>
  </si>
  <si>
    <t>12.02</t>
  </si>
  <si>
    <t>Concepto de pintura #2</t>
  </si>
  <si>
    <t>12.03</t>
  </si>
  <si>
    <t>Concepto de pintura #3</t>
  </si>
  <si>
    <t>12.04</t>
  </si>
  <si>
    <t>Concepto de pintura #4</t>
  </si>
  <si>
    <t>12.05</t>
  </si>
  <si>
    <t>Concepto de pintura #5</t>
  </si>
  <si>
    <t>12.06</t>
  </si>
  <si>
    <t>Concepto de pintura #6</t>
  </si>
  <si>
    <t>12.07</t>
  </si>
  <si>
    <t>Concepto de pintura #7</t>
  </si>
  <si>
    <t>12.08</t>
  </si>
  <si>
    <t>Concepto de pintura #8</t>
  </si>
  <si>
    <t>12.09</t>
  </si>
  <si>
    <t>Concepto de pintura #9</t>
  </si>
  <si>
    <t>12.10</t>
  </si>
  <si>
    <t>Concepto de pintura #10</t>
  </si>
  <si>
    <t>12.11</t>
  </si>
  <si>
    <t>Concepto de pintura #11</t>
  </si>
  <si>
    <t>12.12</t>
  </si>
  <si>
    <t>Concepto de pintura #12</t>
  </si>
  <si>
    <t>12.13</t>
  </si>
  <si>
    <t>Concepto de pintura #13</t>
  </si>
  <si>
    <t>12.14</t>
  </si>
  <si>
    <t>Concepto de pintura #14</t>
  </si>
  <si>
    <t>12.15</t>
  </si>
  <si>
    <t>Concepto de pintura #15</t>
  </si>
  <si>
    <t>12.16</t>
  </si>
  <si>
    <t>Concepto de pintura #16</t>
  </si>
  <si>
    <t>12.17</t>
  </si>
  <si>
    <t>Concepto de pintura #17</t>
  </si>
  <si>
    <t>12.18</t>
  </si>
  <si>
    <t>Concepto de pintura #18</t>
  </si>
  <si>
    <t>SUBTOTAL PINTURA</t>
  </si>
  <si>
    <t>13 - IMPERMEABILIZACIÓN</t>
  </si>
  <si>
    <t>13.01</t>
  </si>
  <si>
    <t>Concepto de impermeabilización #1</t>
  </si>
  <si>
    <t>13.02</t>
  </si>
  <si>
    <t>Concepto de impermeabilización #2</t>
  </si>
  <si>
    <t>13.03</t>
  </si>
  <si>
    <t>Concepto de impermeabilización #3</t>
  </si>
  <si>
    <t>13.04</t>
  </si>
  <si>
    <t>Concepto de impermeabilización #4</t>
  </si>
  <si>
    <t>13.05</t>
  </si>
  <si>
    <t>Concepto de impermeabilización #5</t>
  </si>
  <si>
    <t>13.06</t>
  </si>
  <si>
    <t>Concepto de impermeabilización #6</t>
  </si>
  <si>
    <t>13.07</t>
  </si>
  <si>
    <t>Concepto de impermeabilización #7</t>
  </si>
  <si>
    <t>13.08</t>
  </si>
  <si>
    <t>Concepto de impermeabilización #8</t>
  </si>
  <si>
    <t>SUBTOTAL IMPERMEABILIZACIÓN</t>
  </si>
  <si>
    <t>14 - JARDINERÍA</t>
  </si>
  <si>
    <t>14.01</t>
  </si>
  <si>
    <t>Concepto de jardinería #1</t>
  </si>
  <si>
    <t>14.02</t>
  </si>
  <si>
    <t>Concepto de jardinería #2</t>
  </si>
  <si>
    <t>14.03</t>
  </si>
  <si>
    <t>Concepto de jardinería #3</t>
  </si>
  <si>
    <t>14.04</t>
  </si>
  <si>
    <t>Concepto de jardinería #4</t>
  </si>
  <si>
    <t>14.05</t>
  </si>
  <si>
    <t>Concepto de jardinería #5</t>
  </si>
  <si>
    <t>14.06</t>
  </si>
  <si>
    <t>Concepto de jardinería #6</t>
  </si>
  <si>
    <t>14.07</t>
  </si>
  <si>
    <t>Concepto de jardinería #7</t>
  </si>
  <si>
    <t>14.08</t>
  </si>
  <si>
    <t>Concepto de jardinería #8</t>
  </si>
  <si>
    <t>14.09</t>
  </si>
  <si>
    <t>Concepto de jardinería #9</t>
  </si>
  <si>
    <t>14.10</t>
  </si>
  <si>
    <t>Concepto de jardinería #10</t>
  </si>
  <si>
    <t>SUBTOTAL JARDINERÍA</t>
  </si>
  <si>
    <t>15 - LIMPIEZA</t>
  </si>
  <si>
    <t>15.01</t>
  </si>
  <si>
    <t>Concepto de limpieza #1</t>
  </si>
  <si>
    <t>15.02</t>
  </si>
  <si>
    <t>Concepto de limpieza #2</t>
  </si>
  <si>
    <t>15.03</t>
  </si>
  <si>
    <t>Concepto de limpieza #3</t>
  </si>
  <si>
    <t>15.04</t>
  </si>
  <si>
    <t>Concepto de limpieza #4</t>
  </si>
  <si>
    <t>15.05</t>
  </si>
  <si>
    <t>Concepto de limpieza #5</t>
  </si>
  <si>
    <t>SUBTOTAL LIMPIEZA</t>
  </si>
  <si>
    <t>TOTAL GENERAL</t>
  </si>
  <si>
    <t>PRESUPUESTO DE OBRA - EDIFICIO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</si>
</sst>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164" fontId="0" fillId="0" borderId="0" xfId="0" applyNumberFormat="1"/>
    <xf numFmtId="164" fontId="1" fillId="2" borderId="0" xfId="0" applyNumberFormat="1" applyFont="1" applyFill="1" applyAlignment="1">
      <alignment horizontal="center"/>
    </xf>
    <xf numFmtId="0" fontId="2" fillId="3" borderId="0" xfId="0" applyFont="1" applyFill="1"/>
    <xf numFmtId="4" fontId="2" fillId="3" borderId="0" xfId="0" applyNumberFormat="1" applyFont="1" applyFill="1"/>
    <xf numFmtId="164" fontId="2" fillId="3" borderId="0" xfId="0" applyNumberFormat="1" applyFont="1" applyFill="1"/>
    <xf numFmtId="164" fontId="2" fillId="4" borderId="0" xfId="0" applyNumberFormat="1" applyFont="1" applyFill="1"/>
    <xf numFmtId="0" fontId="2" fillId="5" borderId="0" xfId="0" applyFont="1" applyFill="1"/>
    <xf numFmtId="4" fontId="2" fillId="5" borderId="0" xfId="0" applyNumberFormat="1" applyFont="1" applyFill="1"/>
    <xf numFmtId="164" fontId="2" fillId="5" borderId="0" xfId="0" applyNumberFormat="1" applyFont="1" applyFill="1"/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7"/>
  <sheetFormatPr defaultRowHeight="15" outlineLevelRow="0" outlineLevelCol="0" x14ac:dyDescent="55"/>
  <cols>
    <col min="1" max="1" width="12" customWidth="1"/>
    <col min="2" max="2" width="50" customWidth="1"/>
    <col min="3" max="3" width="10" customWidth="1"/>
    <col min="4" max="4" width="12" style="1" customWidth="1"/>
    <col min="5" max="5" width="14" style="2" customWidth="1"/>
    <col min="6" max="6" width="16" style="2" customWidth="1"/>
    <col min="7" max="7" width="14" style="2" customWidth="1"/>
    <col min="8" max="8" width="16" style="2" customWidth="1"/>
  </cols>
  <sheetData>
    <row r="1" spans="1:8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s="4" customFormat="1" x14ac:dyDescent="0.25">
      <c r="A2" s="4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5">
      <c r="A3" s="7" t="s">
        <v>9</v>
      </c>
      <c r="B3" s="7"/>
      <c r="C3" s="7"/>
      <c r="D3" s="7"/>
      <c r="E3" s="7"/>
      <c r="F3" s="7"/>
      <c r="G3" s="7"/>
      <c r="H3" s="7"/>
    </row>
    <row r="4" spans="1:8" x14ac:dyDescent="0.25">
      <c r="A4" t="s">
        <v>10</v>
      </c>
      <c r="B4" t="s">
        <v>11</v>
      </c>
      <c r="C4" t="s">
        <v>12</v>
      </c>
      <c r="D4" s="1">
        <v>110.39</v>
      </c>
      <c r="E4" s="2">
        <v>646.87</v>
      </c>
      <c r="F4" s="2">
        <f>D4*E4</f>
      </c>
      <c r="G4" s="2">
        <f>F4*0.16</f>
      </c>
      <c r="H4" s="2">
        <f>F4+G4</f>
      </c>
    </row>
    <row r="5" spans="1:8" x14ac:dyDescent="0.25">
      <c r="A5" t="s">
        <v>13</v>
      </c>
      <c r="B5" t="s">
        <v>14</v>
      </c>
      <c r="C5" t="s">
        <v>15</v>
      </c>
      <c r="D5" s="1">
        <v>271.18</v>
      </c>
      <c r="E5" s="2">
        <v>784.52</v>
      </c>
      <c r="F5" s="2">
        <f>D5*E5</f>
      </c>
      <c r="G5" s="2">
        <f>F5*0.16</f>
      </c>
      <c r="H5" s="2">
        <f>F5+G5</f>
      </c>
    </row>
    <row r="6" spans="1:8" x14ac:dyDescent="0.25">
      <c r="A6" t="s">
        <v>16</v>
      </c>
      <c r="B6" t="s">
        <v>17</v>
      </c>
      <c r="C6" t="s">
        <v>18</v>
      </c>
      <c r="D6" s="1">
        <v>1.66</v>
      </c>
      <c r="E6" s="2">
        <v>3633.4</v>
      </c>
      <c r="F6" s="2">
        <f>D6*E6</f>
      </c>
      <c r="G6" s="2">
        <f>F6*0.16</f>
      </c>
      <c r="H6" s="2">
        <f>F6+G6</f>
      </c>
    </row>
    <row r="7" spans="1:8" x14ac:dyDescent="0.25">
      <c r="A7" t="s">
        <v>19</v>
      </c>
      <c r="B7" t="s">
        <v>20</v>
      </c>
      <c r="C7" t="s">
        <v>15</v>
      </c>
      <c r="D7" s="1">
        <v>128.75</v>
      </c>
      <c r="E7" s="2">
        <v>3155.41</v>
      </c>
      <c r="F7" s="2">
        <f>D7*E7</f>
      </c>
      <c r="G7" s="2">
        <f>F7*0.16</f>
      </c>
      <c r="H7" s="2">
        <f>F7+G7</f>
      </c>
    </row>
    <row r="8" spans="1:8" x14ac:dyDescent="0.25">
      <c r="A8" t="s">
        <v>21</v>
      </c>
      <c r="B8" t="s">
        <v>22</v>
      </c>
      <c r="C8" t="s">
        <v>23</v>
      </c>
      <c r="D8" s="1">
        <v>69.26</v>
      </c>
      <c r="E8" s="2">
        <v>1150.44</v>
      </c>
      <c r="F8" s="2">
        <f>D8*E8</f>
      </c>
      <c r="G8" s="2">
        <f>F8*0.16</f>
      </c>
      <c r="H8" s="2">
        <f>F8+G8</f>
      </c>
    </row>
    <row r="9" spans="1:8" x14ac:dyDescent="0.25">
      <c r="A9" t="s">
        <v>24</v>
      </c>
      <c r="B9" t="s">
        <v>25</v>
      </c>
      <c r="C9" t="s">
        <v>15</v>
      </c>
      <c r="D9" s="1">
        <v>139.11</v>
      </c>
      <c r="E9" s="2">
        <v>3224.09</v>
      </c>
      <c r="F9" s="2">
        <f>D9*E9</f>
      </c>
      <c r="G9" s="2">
        <f>F9*0.16</f>
      </c>
      <c r="H9" s="2">
        <f>F9+G9</f>
      </c>
    </row>
    <row r="10" spans="1:8" x14ac:dyDescent="0.25">
      <c r="A10" t="s">
        <v>26</v>
      </c>
      <c r="B10" t="s">
        <v>27</v>
      </c>
      <c r="C10" t="s">
        <v>15</v>
      </c>
      <c r="D10" s="1">
        <v>443.17</v>
      </c>
      <c r="E10" s="2">
        <v>4960.1</v>
      </c>
      <c r="F10" s="2">
        <f>D10*E10</f>
      </c>
      <c r="G10" s="2">
        <f>F10*0.16</f>
      </c>
      <c r="H10" s="2">
        <f>F10+G10</f>
      </c>
    </row>
    <row r="11" spans="1:8" x14ac:dyDescent="0.25">
      <c r="A11" t="s">
        <v>28</v>
      </c>
      <c r="B11" t="s">
        <v>29</v>
      </c>
      <c r="C11" t="s">
        <v>12</v>
      </c>
      <c r="D11" s="1">
        <v>38.02</v>
      </c>
      <c r="E11" s="2">
        <v>4518.39</v>
      </c>
      <c r="F11" s="2">
        <f>D11*E11</f>
      </c>
      <c r="G11" s="2">
        <f>F11*0.16</f>
      </c>
      <c r="H11" s="2">
        <f>F11+G11</f>
      </c>
    </row>
    <row r="12" spans="1:8" x14ac:dyDescent="0.25">
      <c r="A12" t="s">
        <v>30</v>
      </c>
      <c r="B12" t="s">
        <v>31</v>
      </c>
      <c r="C12" t="s">
        <v>18</v>
      </c>
      <c r="D12" s="1">
        <v>56.47</v>
      </c>
      <c r="E12" s="2">
        <v>2092.99</v>
      </c>
      <c r="F12" s="2">
        <f>D12*E12</f>
      </c>
      <c r="G12" s="2">
        <f>F12*0.16</f>
      </c>
      <c r="H12" s="2">
        <f>F12+G12</f>
      </c>
    </row>
    <row r="13" spans="1:8" x14ac:dyDescent="0.25">
      <c r="A13" t="s">
        <v>32</v>
      </c>
      <c r="B13" t="s">
        <v>33</v>
      </c>
      <c r="C13" t="s">
        <v>34</v>
      </c>
      <c r="D13" s="1">
        <v>95.87</v>
      </c>
      <c r="E13" s="2">
        <v>3629.56</v>
      </c>
      <c r="F13" s="2">
        <f>D13*E13</f>
      </c>
      <c r="G13" s="2">
        <f>F13*0.16</f>
      </c>
      <c r="H13" s="2">
        <f>F13+G13</f>
      </c>
    </row>
    <row r="14" spans="1:8" x14ac:dyDescent="0.25">
      <c r="A14" t="s">
        <v>35</v>
      </c>
      <c r="B14" t="s">
        <v>36</v>
      </c>
      <c r="C14" t="s">
        <v>12</v>
      </c>
      <c r="D14" s="1">
        <v>35.51</v>
      </c>
      <c r="E14" s="2">
        <v>2765.37</v>
      </c>
      <c r="F14" s="2">
        <f>D14*E14</f>
      </c>
      <c r="G14" s="2">
        <f>F14*0.16</f>
      </c>
      <c r="H14" s="2">
        <f>F14+G14</f>
      </c>
    </row>
    <row r="15" spans="1:8" x14ac:dyDescent="0.25">
      <c r="A15" t="s">
        <v>37</v>
      </c>
      <c r="B15" t="s">
        <v>38</v>
      </c>
      <c r="C15" t="s">
        <v>18</v>
      </c>
      <c r="D15" s="1">
        <v>291.52</v>
      </c>
      <c r="E15" s="2">
        <v>3814.05</v>
      </c>
      <c r="F15" s="2">
        <f>D15*E15</f>
      </c>
      <c r="G15" s="2">
        <f>F15*0.16</f>
      </c>
      <c r="H15" s="2">
        <f>F15+G15</f>
      </c>
    </row>
    <row r="16" spans="1:8" x14ac:dyDescent="0.25">
      <c r="A16" t="s">
        <v>39</v>
      </c>
      <c r="B16" t="s">
        <v>40</v>
      </c>
      <c r="C16" t="s">
        <v>41</v>
      </c>
      <c r="D16" s="1">
        <v>318.67</v>
      </c>
      <c r="E16" s="2">
        <v>1695.66</v>
      </c>
      <c r="F16" s="2">
        <f>D16*E16</f>
      </c>
      <c r="G16" s="2">
        <f>F16*0.16</f>
      </c>
      <c r="H16" s="2">
        <f>F16+G16</f>
      </c>
    </row>
    <row r="17" spans="1:8" x14ac:dyDescent="0.25">
      <c r="A17" t="s">
        <v>42</v>
      </c>
      <c r="B17" t="s">
        <v>43</v>
      </c>
      <c r="C17" t="s">
        <v>18</v>
      </c>
      <c r="D17" s="1">
        <v>462.81</v>
      </c>
      <c r="E17" s="2">
        <v>3483.65</v>
      </c>
      <c r="F17" s="2">
        <f>D17*E17</f>
      </c>
      <c r="G17" s="2">
        <f>F17*0.16</f>
      </c>
      <c r="H17" s="2">
        <f>F17+G17</f>
      </c>
    </row>
    <row r="18" spans="1:8" x14ac:dyDescent="0.25">
      <c r="A18" t="s">
        <v>44</v>
      </c>
      <c r="B18" t="s">
        <v>45</v>
      </c>
      <c r="C18" t="s">
        <v>12</v>
      </c>
      <c r="D18" s="1">
        <v>437.74</v>
      </c>
      <c r="E18" s="2">
        <v>4039.59</v>
      </c>
      <c r="F18" s="2">
        <f>D18*E18</f>
      </c>
      <c r="G18" s="2">
        <f>F18*0.16</f>
      </c>
      <c r="H18" s="2">
        <f>F18+G18</f>
      </c>
    </row>
    <row r="19" spans="1:8" s="8" customFormat="1" x14ac:dyDescent="0.25">
      <c r="A19" s="8" t="s">
        <v>46</v>
      </c>
      <c r="B19" s="8" t="s">
        <v>47</v>
      </c>
      <c r="C19" s="8" t="s">
        <v>46</v>
      </c>
      <c r="D19" s="9" t="s">
        <v>46</v>
      </c>
      <c r="E19" s="10" t="s">
        <v>46</v>
      </c>
      <c r="F19" s="10">
        <f>SUM(F4:F18)</f>
      </c>
      <c r="G19" s="10">
        <f>SUM(G4:G18)</f>
      </c>
      <c r="H19" s="10">
        <f>SUM(H4:H18)</f>
      </c>
    </row>
    <row r="20" spans="1:8" x14ac:dyDescent="0.25">
      <c r="A20" s="7" t="s">
        <v>48</v>
      </c>
      <c r="B20" s="7"/>
      <c r="C20" s="7"/>
      <c r="D20" s="7"/>
      <c r="E20" s="7"/>
      <c r="F20" s="7"/>
      <c r="G20" s="7"/>
      <c r="H20" s="7"/>
    </row>
    <row r="21" spans="1:8" x14ac:dyDescent="0.25">
      <c r="A21" t="s">
        <v>49</v>
      </c>
      <c r="B21" t="s">
        <v>50</v>
      </c>
      <c r="C21" t="s">
        <v>15</v>
      </c>
      <c r="D21" s="1">
        <v>119.26</v>
      </c>
      <c r="E21" s="2">
        <v>145.94</v>
      </c>
      <c r="F21" s="2">
        <f>D21*E21</f>
      </c>
      <c r="G21" s="2">
        <f>F21*0.16</f>
      </c>
      <c r="H21" s="2">
        <f>F21+G21</f>
      </c>
    </row>
    <row r="22" spans="1:8" x14ac:dyDescent="0.25">
      <c r="A22" t="s">
        <v>51</v>
      </c>
      <c r="B22" t="s">
        <v>52</v>
      </c>
      <c r="C22" t="s">
        <v>23</v>
      </c>
      <c r="D22" s="1">
        <v>327.53</v>
      </c>
      <c r="E22" s="2">
        <v>3233.18</v>
      </c>
      <c r="F22" s="2">
        <f>D22*E22</f>
      </c>
      <c r="G22" s="2">
        <f>F22*0.16</f>
      </c>
      <c r="H22" s="2">
        <f>F22+G22</f>
      </c>
    </row>
    <row r="23" spans="1:8" x14ac:dyDescent="0.25">
      <c r="A23" t="s">
        <v>53</v>
      </c>
      <c r="B23" t="s">
        <v>54</v>
      </c>
      <c r="C23" t="s">
        <v>18</v>
      </c>
      <c r="D23" s="1">
        <v>267.52</v>
      </c>
      <c r="E23" s="2">
        <v>4578.89</v>
      </c>
      <c r="F23" s="2">
        <f>D23*E23</f>
      </c>
      <c r="G23" s="2">
        <f>F23*0.16</f>
      </c>
      <c r="H23" s="2">
        <f>F23+G23</f>
      </c>
    </row>
    <row r="24" spans="1:8" x14ac:dyDescent="0.25">
      <c r="A24" t="s">
        <v>55</v>
      </c>
      <c r="B24" t="s">
        <v>56</v>
      </c>
      <c r="C24" t="s">
        <v>34</v>
      </c>
      <c r="D24" s="1">
        <v>35.28</v>
      </c>
      <c r="E24" s="2">
        <v>4347.37</v>
      </c>
      <c r="F24" s="2">
        <f>D24*E24</f>
      </c>
      <c r="G24" s="2">
        <f>F24*0.16</f>
      </c>
      <c r="H24" s="2">
        <f>F24+G24</f>
      </c>
    </row>
    <row r="25" spans="1:8" x14ac:dyDescent="0.25">
      <c r="A25" t="s">
        <v>57</v>
      </c>
      <c r="B25" t="s">
        <v>58</v>
      </c>
      <c r="C25" t="s">
        <v>12</v>
      </c>
      <c r="D25" s="1">
        <v>140.82</v>
      </c>
      <c r="E25" s="2">
        <v>1161.91</v>
      </c>
      <c r="F25" s="2">
        <f>D25*E25</f>
      </c>
      <c r="G25" s="2">
        <f>F25*0.16</f>
      </c>
      <c r="H25" s="2">
        <f>F25+G25</f>
      </c>
    </row>
    <row r="26" spans="1:8" x14ac:dyDescent="0.25">
      <c r="A26" t="s">
        <v>59</v>
      </c>
      <c r="B26" t="s">
        <v>60</v>
      </c>
      <c r="C26" t="s">
        <v>15</v>
      </c>
      <c r="D26" s="1">
        <v>442.07</v>
      </c>
      <c r="E26" s="2">
        <v>2237.79</v>
      </c>
      <c r="F26" s="2">
        <f>D26*E26</f>
      </c>
      <c r="G26" s="2">
        <f>F26*0.16</f>
      </c>
      <c r="H26" s="2">
        <f>F26+G26</f>
      </c>
    </row>
    <row r="27" spans="1:8" x14ac:dyDescent="0.25">
      <c r="A27" t="s">
        <v>61</v>
      </c>
      <c r="B27" t="s">
        <v>62</v>
      </c>
      <c r="C27" t="s">
        <v>15</v>
      </c>
      <c r="D27" s="1">
        <v>366.48</v>
      </c>
      <c r="E27" s="2">
        <v>3715.13</v>
      </c>
      <c r="F27" s="2">
        <f>D27*E27</f>
      </c>
      <c r="G27" s="2">
        <f>F27*0.16</f>
      </c>
      <c r="H27" s="2">
        <f>F27+G27</f>
      </c>
    </row>
    <row r="28" spans="1:8" x14ac:dyDescent="0.25">
      <c r="A28" t="s">
        <v>63</v>
      </c>
      <c r="B28" t="s">
        <v>64</v>
      </c>
      <c r="C28" t="s">
        <v>34</v>
      </c>
      <c r="D28" s="1">
        <v>191.92</v>
      </c>
      <c r="E28" s="2">
        <v>1378.17</v>
      </c>
      <c r="F28" s="2">
        <f>D28*E28</f>
      </c>
      <c r="G28" s="2">
        <f>F28*0.16</f>
      </c>
      <c r="H28" s="2">
        <f>F28+G28</f>
      </c>
    </row>
    <row r="29" spans="1:8" x14ac:dyDescent="0.25">
      <c r="A29" t="s">
        <v>65</v>
      </c>
      <c r="B29" t="s">
        <v>66</v>
      </c>
      <c r="C29" t="s">
        <v>41</v>
      </c>
      <c r="D29" s="1">
        <v>280.71</v>
      </c>
      <c r="E29" s="2">
        <v>2593.53</v>
      </c>
      <c r="F29" s="2">
        <f>D29*E29</f>
      </c>
      <c r="G29" s="2">
        <f>F29*0.16</f>
      </c>
      <c r="H29" s="2">
        <f>F29+G29</f>
      </c>
    </row>
    <row r="30" spans="1:8" x14ac:dyDescent="0.25">
      <c r="A30" t="s">
        <v>67</v>
      </c>
      <c r="B30" t="s">
        <v>68</v>
      </c>
      <c r="C30" t="s">
        <v>41</v>
      </c>
      <c r="D30" s="1">
        <v>272.62</v>
      </c>
      <c r="E30" s="2">
        <v>4551.68</v>
      </c>
      <c r="F30" s="2">
        <f>D30*E30</f>
      </c>
      <c r="G30" s="2">
        <f>F30*0.16</f>
      </c>
      <c r="H30" s="2">
        <f>F30+G30</f>
      </c>
    </row>
    <row r="31" spans="1:8" x14ac:dyDescent="0.25">
      <c r="A31" t="s">
        <v>69</v>
      </c>
      <c r="B31" t="s">
        <v>70</v>
      </c>
      <c r="C31" t="s">
        <v>12</v>
      </c>
      <c r="D31" s="1">
        <v>237.26</v>
      </c>
      <c r="E31" s="2">
        <v>4902.8</v>
      </c>
      <c r="F31" s="2">
        <f>D31*E31</f>
      </c>
      <c r="G31" s="2">
        <f>F31*0.16</f>
      </c>
      <c r="H31" s="2">
        <f>F31+G31</f>
      </c>
    </row>
    <row r="32" spans="1:8" x14ac:dyDescent="0.25">
      <c r="A32" t="s">
        <v>71</v>
      </c>
      <c r="B32" t="s">
        <v>72</v>
      </c>
      <c r="C32" t="s">
        <v>41</v>
      </c>
      <c r="D32" s="1">
        <v>140.37</v>
      </c>
      <c r="E32" s="2">
        <v>1126.16</v>
      </c>
      <c r="F32" s="2">
        <f>D32*E32</f>
      </c>
      <c r="G32" s="2">
        <f>F32*0.16</f>
      </c>
      <c r="H32" s="2">
        <f>F32+G32</f>
      </c>
    </row>
    <row r="33" spans="1:8" x14ac:dyDescent="0.25">
      <c r="A33" t="s">
        <v>73</v>
      </c>
      <c r="B33" t="s">
        <v>74</v>
      </c>
      <c r="C33" t="s">
        <v>18</v>
      </c>
      <c r="D33" s="1">
        <v>412.09</v>
      </c>
      <c r="E33" s="2">
        <v>141.91</v>
      </c>
      <c r="F33" s="2">
        <f>D33*E33</f>
      </c>
      <c r="G33" s="2">
        <f>F33*0.16</f>
      </c>
      <c r="H33" s="2">
        <f>F33+G33</f>
      </c>
    </row>
    <row r="34" spans="1:8" x14ac:dyDescent="0.25">
      <c r="A34" t="s">
        <v>75</v>
      </c>
      <c r="B34" t="s">
        <v>76</v>
      </c>
      <c r="C34" t="s">
        <v>34</v>
      </c>
      <c r="D34" s="1">
        <v>470.88</v>
      </c>
      <c r="E34" s="2">
        <v>2064.65</v>
      </c>
      <c r="F34" s="2">
        <f>D34*E34</f>
      </c>
      <c r="G34" s="2">
        <f>F34*0.16</f>
      </c>
      <c r="H34" s="2">
        <f>F34+G34</f>
      </c>
    </row>
    <row r="35" spans="1:8" x14ac:dyDescent="0.25">
      <c r="A35" t="s">
        <v>77</v>
      </c>
      <c r="B35" t="s">
        <v>78</v>
      </c>
      <c r="C35" t="s">
        <v>41</v>
      </c>
      <c r="D35" s="1">
        <v>270.11</v>
      </c>
      <c r="E35" s="2">
        <v>1491.6</v>
      </c>
      <c r="F35" s="2">
        <f>D35*E35</f>
      </c>
      <c r="G35" s="2">
        <f>F35*0.16</f>
      </c>
      <c r="H35" s="2">
        <f>F35+G35</f>
      </c>
    </row>
    <row r="36" spans="1:8" x14ac:dyDescent="0.25">
      <c r="A36" t="s">
        <v>79</v>
      </c>
      <c r="B36" t="s">
        <v>80</v>
      </c>
      <c r="C36" t="s">
        <v>23</v>
      </c>
      <c r="D36" s="1">
        <v>199.22</v>
      </c>
      <c r="E36" s="2">
        <v>3481.39</v>
      </c>
      <c r="F36" s="2">
        <f>D36*E36</f>
      </c>
      <c r="G36" s="2">
        <f>F36*0.16</f>
      </c>
      <c r="H36" s="2">
        <f>F36+G36</f>
      </c>
    </row>
    <row r="37" spans="1:8" x14ac:dyDescent="0.25">
      <c r="A37" t="s">
        <v>81</v>
      </c>
      <c r="B37" t="s">
        <v>82</v>
      </c>
      <c r="C37" t="s">
        <v>23</v>
      </c>
      <c r="D37" s="1">
        <v>247.39</v>
      </c>
      <c r="E37" s="2">
        <v>1419.98</v>
      </c>
      <c r="F37" s="2">
        <f>D37*E37</f>
      </c>
      <c r="G37" s="2">
        <f>F37*0.16</f>
      </c>
      <c r="H37" s="2">
        <f>F37+G37</f>
      </c>
    </row>
    <row r="38" spans="1:8" x14ac:dyDescent="0.25">
      <c r="A38" t="s">
        <v>83</v>
      </c>
      <c r="B38" t="s">
        <v>84</v>
      </c>
      <c r="C38" t="s">
        <v>18</v>
      </c>
      <c r="D38" s="1">
        <v>300.77</v>
      </c>
      <c r="E38" s="2">
        <v>3030.75</v>
      </c>
      <c r="F38" s="2">
        <f>D38*E38</f>
      </c>
      <c r="G38" s="2">
        <f>F38*0.16</f>
      </c>
      <c r="H38" s="2">
        <f>F38+G38</f>
      </c>
    </row>
    <row r="39" spans="1:8" x14ac:dyDescent="0.25">
      <c r="A39" t="s">
        <v>85</v>
      </c>
      <c r="B39" t="s">
        <v>86</v>
      </c>
      <c r="C39" t="s">
        <v>18</v>
      </c>
      <c r="D39" s="1">
        <v>255.43</v>
      </c>
      <c r="E39" s="2">
        <v>4667.44</v>
      </c>
      <c r="F39" s="2">
        <f>D39*E39</f>
      </c>
      <c r="G39" s="2">
        <f>F39*0.16</f>
      </c>
      <c r="H39" s="2">
        <f>F39+G39</f>
      </c>
    </row>
    <row r="40" spans="1:8" x14ac:dyDescent="0.25">
      <c r="A40" t="s">
        <v>87</v>
      </c>
      <c r="B40" t="s">
        <v>88</v>
      </c>
      <c r="C40" t="s">
        <v>23</v>
      </c>
      <c r="D40" s="1">
        <v>195.57</v>
      </c>
      <c r="E40" s="2">
        <v>1377.25</v>
      </c>
      <c r="F40" s="2">
        <f>D40*E40</f>
      </c>
      <c r="G40" s="2">
        <f>F40*0.16</f>
      </c>
      <c r="H40" s="2">
        <f>F40+G40</f>
      </c>
    </row>
    <row r="41" spans="1:8" x14ac:dyDescent="0.25">
      <c r="A41" t="s">
        <v>89</v>
      </c>
      <c r="B41" t="s">
        <v>90</v>
      </c>
      <c r="C41" t="s">
        <v>41</v>
      </c>
      <c r="D41" s="1">
        <v>431.69</v>
      </c>
      <c r="E41" s="2">
        <v>4405.27</v>
      </c>
      <c r="F41" s="2">
        <f>D41*E41</f>
      </c>
      <c r="G41" s="2">
        <f>F41*0.16</f>
      </c>
      <c r="H41" s="2">
        <f>F41+G41</f>
      </c>
    </row>
    <row r="42" spans="1:8" x14ac:dyDescent="0.25">
      <c r="A42" t="s">
        <v>91</v>
      </c>
      <c r="B42" t="s">
        <v>92</v>
      </c>
      <c r="C42" t="s">
        <v>12</v>
      </c>
      <c r="D42" s="1">
        <v>387.73</v>
      </c>
      <c r="E42" s="2">
        <v>710.23</v>
      </c>
      <c r="F42" s="2">
        <f>D42*E42</f>
      </c>
      <c r="G42" s="2">
        <f>F42*0.16</f>
      </c>
      <c r="H42" s="2">
        <f>F42+G42</f>
      </c>
    </row>
    <row r="43" spans="1:8" x14ac:dyDescent="0.25">
      <c r="A43" t="s">
        <v>93</v>
      </c>
      <c r="B43" t="s">
        <v>94</v>
      </c>
      <c r="C43" t="s">
        <v>34</v>
      </c>
      <c r="D43" s="1">
        <v>384.13</v>
      </c>
      <c r="E43" s="2">
        <v>982.37</v>
      </c>
      <c r="F43" s="2">
        <f>D43*E43</f>
      </c>
      <c r="G43" s="2">
        <f>F43*0.16</f>
      </c>
      <c r="H43" s="2">
        <f>F43+G43</f>
      </c>
    </row>
    <row r="44" spans="1:8" x14ac:dyDescent="0.25">
      <c r="A44" t="s">
        <v>95</v>
      </c>
      <c r="B44" t="s">
        <v>96</v>
      </c>
      <c r="C44" t="s">
        <v>18</v>
      </c>
      <c r="D44" s="1">
        <v>420.91</v>
      </c>
      <c r="E44" s="2">
        <v>3883.27</v>
      </c>
      <c r="F44" s="2">
        <f>D44*E44</f>
      </c>
      <c r="G44" s="2">
        <f>F44*0.16</f>
      </c>
      <c r="H44" s="2">
        <f>F44+G44</f>
      </c>
    </row>
    <row r="45" spans="1:8" x14ac:dyDescent="0.25">
      <c r="A45" t="s">
        <v>97</v>
      </c>
      <c r="B45" t="s">
        <v>98</v>
      </c>
      <c r="C45" t="s">
        <v>41</v>
      </c>
      <c r="D45" s="1">
        <v>5.22</v>
      </c>
      <c r="E45" s="2">
        <v>1278.43</v>
      </c>
      <c r="F45" s="2">
        <f>D45*E45</f>
      </c>
      <c r="G45" s="2">
        <f>F45*0.16</f>
      </c>
      <c r="H45" s="2">
        <f>F45+G45</f>
      </c>
    </row>
    <row r="46" spans="1:8" s="8" customFormat="1" x14ac:dyDescent="0.25">
      <c r="A46" s="8" t="s">
        <v>46</v>
      </c>
      <c r="B46" s="8" t="s">
        <v>99</v>
      </c>
      <c r="C46" s="8" t="s">
        <v>46</v>
      </c>
      <c r="D46" s="9" t="s">
        <v>46</v>
      </c>
      <c r="E46" s="10" t="s">
        <v>46</v>
      </c>
      <c r="F46" s="10">
        <f>SUM(F21:F45)</f>
      </c>
      <c r="G46" s="10">
        <f>SUM(G21:G45)</f>
      </c>
      <c r="H46" s="10">
        <f>SUM(H21:H45)</f>
      </c>
    </row>
    <row r="47" spans="1:8" x14ac:dyDescent="0.25">
      <c r="A47" s="7" t="s">
        <v>100</v>
      </c>
      <c r="B47" s="7"/>
      <c r="C47" s="7"/>
      <c r="D47" s="7"/>
      <c r="E47" s="7"/>
      <c r="F47" s="7"/>
      <c r="G47" s="7"/>
      <c r="H47" s="7"/>
    </row>
    <row r="48" spans="1:8" x14ac:dyDescent="0.25">
      <c r="A48" t="s">
        <v>101</v>
      </c>
      <c r="B48" t="s">
        <v>102</v>
      </c>
      <c r="C48" t="s">
        <v>34</v>
      </c>
      <c r="D48" s="1">
        <v>270.97</v>
      </c>
      <c r="E48" s="2">
        <v>3415.64</v>
      </c>
      <c r="F48" s="2">
        <f>D48*E48</f>
      </c>
      <c r="G48" s="2">
        <f>F48*0.16</f>
      </c>
      <c r="H48" s="2">
        <f>F48+G48</f>
      </c>
    </row>
    <row r="49" spans="1:8" x14ac:dyDescent="0.25">
      <c r="A49" t="s">
        <v>103</v>
      </c>
      <c r="B49" t="s">
        <v>104</v>
      </c>
      <c r="C49" t="s">
        <v>18</v>
      </c>
      <c r="D49" s="1">
        <v>8.04</v>
      </c>
      <c r="E49" s="2">
        <v>2360.51</v>
      </c>
      <c r="F49" s="2">
        <f>D49*E49</f>
      </c>
      <c r="G49" s="2">
        <f>F49*0.16</f>
      </c>
      <c r="H49" s="2">
        <f>F49+G49</f>
      </c>
    </row>
    <row r="50" spans="1:8" x14ac:dyDescent="0.25">
      <c r="A50" t="s">
        <v>105</v>
      </c>
      <c r="B50" t="s">
        <v>106</v>
      </c>
      <c r="C50" t="s">
        <v>15</v>
      </c>
      <c r="D50" s="1">
        <v>438.19</v>
      </c>
      <c r="E50" s="2">
        <v>4862.94</v>
      </c>
      <c r="F50" s="2">
        <f>D50*E50</f>
      </c>
      <c r="G50" s="2">
        <f>F50*0.16</f>
      </c>
      <c r="H50" s="2">
        <f>F50+G50</f>
      </c>
    </row>
    <row r="51" spans="1:8" x14ac:dyDescent="0.25">
      <c r="A51" t="s">
        <v>107</v>
      </c>
      <c r="B51" t="s">
        <v>108</v>
      </c>
      <c r="C51" t="s">
        <v>34</v>
      </c>
      <c r="D51" s="1">
        <v>341.88</v>
      </c>
      <c r="E51" s="2">
        <v>4098.54</v>
      </c>
      <c r="F51" s="2">
        <f>D51*E51</f>
      </c>
      <c r="G51" s="2">
        <f>F51*0.16</f>
      </c>
      <c r="H51" s="2">
        <f>F51+G51</f>
      </c>
    </row>
    <row r="52" spans="1:8" x14ac:dyDescent="0.25">
      <c r="A52" t="s">
        <v>109</v>
      </c>
      <c r="B52" t="s">
        <v>110</v>
      </c>
      <c r="C52" t="s">
        <v>18</v>
      </c>
      <c r="D52" s="1">
        <v>239.74</v>
      </c>
      <c r="E52" s="2">
        <v>1689.01</v>
      </c>
      <c r="F52" s="2">
        <f>D52*E52</f>
      </c>
      <c r="G52" s="2">
        <f>F52*0.16</f>
      </c>
      <c r="H52" s="2">
        <f>F52+G52</f>
      </c>
    </row>
    <row r="53" spans="1:8" x14ac:dyDescent="0.25">
      <c r="A53" t="s">
        <v>111</v>
      </c>
      <c r="B53" t="s">
        <v>112</v>
      </c>
      <c r="C53" t="s">
        <v>41</v>
      </c>
      <c r="D53" s="1">
        <v>20.61</v>
      </c>
      <c r="E53" s="2">
        <v>3633.64</v>
      </c>
      <c r="F53" s="2">
        <f>D53*E53</f>
      </c>
      <c r="G53" s="2">
        <f>F53*0.16</f>
      </c>
      <c r="H53" s="2">
        <f>F53+G53</f>
      </c>
    </row>
    <row r="54" spans="1:8" x14ac:dyDescent="0.25">
      <c r="A54" t="s">
        <v>113</v>
      </c>
      <c r="B54" t="s">
        <v>114</v>
      </c>
      <c r="C54" t="s">
        <v>41</v>
      </c>
      <c r="D54" s="1">
        <v>149.64</v>
      </c>
      <c r="E54" s="2">
        <v>4198.65</v>
      </c>
      <c r="F54" s="2">
        <f>D54*E54</f>
      </c>
      <c r="G54" s="2">
        <f>F54*0.16</f>
      </c>
      <c r="H54" s="2">
        <f>F54+G54</f>
      </c>
    </row>
    <row r="55" spans="1:8" x14ac:dyDescent="0.25">
      <c r="A55" t="s">
        <v>115</v>
      </c>
      <c r="B55" t="s">
        <v>116</v>
      </c>
      <c r="C55" t="s">
        <v>23</v>
      </c>
      <c r="D55" s="1">
        <v>346.04</v>
      </c>
      <c r="E55" s="2">
        <v>898.22</v>
      </c>
      <c r="F55" s="2">
        <f>D55*E55</f>
      </c>
      <c r="G55" s="2">
        <f>F55*0.16</f>
      </c>
      <c r="H55" s="2">
        <f>F55+G55</f>
      </c>
    </row>
    <row r="56" spans="1:8" x14ac:dyDescent="0.25">
      <c r="A56" t="s">
        <v>117</v>
      </c>
      <c r="B56" t="s">
        <v>118</v>
      </c>
      <c r="C56" t="s">
        <v>34</v>
      </c>
      <c r="D56" s="1">
        <v>141.89</v>
      </c>
      <c r="E56" s="2">
        <v>2529.91</v>
      </c>
      <c r="F56" s="2">
        <f>D56*E56</f>
      </c>
      <c r="G56" s="2">
        <f>F56*0.16</f>
      </c>
      <c r="H56" s="2">
        <f>F56+G56</f>
      </c>
    </row>
    <row r="57" spans="1:8" x14ac:dyDescent="0.25">
      <c r="A57" t="s">
        <v>119</v>
      </c>
      <c r="B57" t="s">
        <v>120</v>
      </c>
      <c r="C57" t="s">
        <v>18</v>
      </c>
      <c r="D57" s="1">
        <v>369.84</v>
      </c>
      <c r="E57" s="2">
        <v>277.18</v>
      </c>
      <c r="F57" s="2">
        <f>D57*E57</f>
      </c>
      <c r="G57" s="2">
        <f>F57*0.16</f>
      </c>
      <c r="H57" s="2">
        <f>F57+G57</f>
      </c>
    </row>
    <row r="58" spans="1:8" x14ac:dyDescent="0.25">
      <c r="A58" t="s">
        <v>121</v>
      </c>
      <c r="B58" t="s">
        <v>122</v>
      </c>
      <c r="C58" t="s">
        <v>18</v>
      </c>
      <c r="D58" s="1">
        <v>69.94</v>
      </c>
      <c r="E58" s="2">
        <v>4215.09</v>
      </c>
      <c r="F58" s="2">
        <f>D58*E58</f>
      </c>
      <c r="G58" s="2">
        <f>F58*0.16</f>
      </c>
      <c r="H58" s="2">
        <f>F58+G58</f>
      </c>
    </row>
    <row r="59" spans="1:8" x14ac:dyDescent="0.25">
      <c r="A59" t="s">
        <v>123</v>
      </c>
      <c r="B59" t="s">
        <v>124</v>
      </c>
      <c r="C59" t="s">
        <v>41</v>
      </c>
      <c r="D59" s="1">
        <v>71.99</v>
      </c>
      <c r="E59" s="2">
        <v>1660.57</v>
      </c>
      <c r="F59" s="2">
        <f>D59*E59</f>
      </c>
      <c r="G59" s="2">
        <f>F59*0.16</f>
      </c>
      <c r="H59" s="2">
        <f>F59+G59</f>
      </c>
    </row>
    <row r="60" spans="1:8" x14ac:dyDescent="0.25">
      <c r="A60" t="s">
        <v>125</v>
      </c>
      <c r="B60" t="s">
        <v>126</v>
      </c>
      <c r="C60" t="s">
        <v>15</v>
      </c>
      <c r="D60" s="1">
        <v>401.97</v>
      </c>
      <c r="E60" s="2">
        <v>3133.84</v>
      </c>
      <c r="F60" s="2">
        <f>D60*E60</f>
      </c>
      <c r="G60" s="2">
        <f>F60*0.16</f>
      </c>
      <c r="H60" s="2">
        <f>F60+G60</f>
      </c>
    </row>
    <row r="61" spans="1:8" x14ac:dyDescent="0.25">
      <c r="A61" t="s">
        <v>127</v>
      </c>
      <c r="B61" t="s">
        <v>128</v>
      </c>
      <c r="C61" t="s">
        <v>41</v>
      </c>
      <c r="D61" s="1">
        <v>65.04</v>
      </c>
      <c r="E61" s="2">
        <v>4647.38</v>
      </c>
      <c r="F61" s="2">
        <f>D61*E61</f>
      </c>
      <c r="G61" s="2">
        <f>F61*0.16</f>
      </c>
      <c r="H61" s="2">
        <f>F61+G61</f>
      </c>
    </row>
    <row r="62" spans="1:8" x14ac:dyDescent="0.25">
      <c r="A62" t="s">
        <v>129</v>
      </c>
      <c r="B62" t="s">
        <v>130</v>
      </c>
      <c r="C62" t="s">
        <v>12</v>
      </c>
      <c r="D62" s="1">
        <v>52.05</v>
      </c>
      <c r="E62" s="2">
        <v>2361.08</v>
      </c>
      <c r="F62" s="2">
        <f>D62*E62</f>
      </c>
      <c r="G62" s="2">
        <f>F62*0.16</f>
      </c>
      <c r="H62" s="2">
        <f>F62+G62</f>
      </c>
    </row>
    <row r="63" spans="1:8" x14ac:dyDescent="0.25">
      <c r="A63" t="s">
        <v>131</v>
      </c>
      <c r="B63" t="s">
        <v>132</v>
      </c>
      <c r="C63" t="s">
        <v>18</v>
      </c>
      <c r="D63" s="1">
        <v>420.08</v>
      </c>
      <c r="E63" s="2">
        <v>4192.5</v>
      </c>
      <c r="F63" s="2">
        <f>D63*E63</f>
      </c>
      <c r="G63" s="2">
        <f>F63*0.16</f>
      </c>
      <c r="H63" s="2">
        <f>F63+G63</f>
      </c>
    </row>
    <row r="64" spans="1:8" x14ac:dyDescent="0.25">
      <c r="A64" t="s">
        <v>133</v>
      </c>
      <c r="B64" t="s">
        <v>134</v>
      </c>
      <c r="C64" t="s">
        <v>34</v>
      </c>
      <c r="D64" s="1">
        <v>425.64</v>
      </c>
      <c r="E64" s="2">
        <v>4948.59</v>
      </c>
      <c r="F64" s="2">
        <f>D64*E64</f>
      </c>
      <c r="G64" s="2">
        <f>F64*0.16</f>
      </c>
      <c r="H64" s="2">
        <f>F64+G64</f>
      </c>
    </row>
    <row r="65" spans="1:8" x14ac:dyDescent="0.25">
      <c r="A65" t="s">
        <v>135</v>
      </c>
      <c r="B65" t="s">
        <v>136</v>
      </c>
      <c r="C65" t="s">
        <v>34</v>
      </c>
      <c r="D65" s="1">
        <v>125.13</v>
      </c>
      <c r="E65" s="2">
        <v>2380.95</v>
      </c>
      <c r="F65" s="2">
        <f>D65*E65</f>
      </c>
      <c r="G65" s="2">
        <f>F65*0.16</f>
      </c>
      <c r="H65" s="2">
        <f>F65+G65</f>
      </c>
    </row>
    <row r="66" spans="1:8" x14ac:dyDescent="0.25">
      <c r="A66" t="s">
        <v>137</v>
      </c>
      <c r="B66" t="s">
        <v>138</v>
      </c>
      <c r="C66" t="s">
        <v>18</v>
      </c>
      <c r="D66" s="1">
        <v>148.6</v>
      </c>
      <c r="E66" s="2">
        <v>4041.2</v>
      </c>
      <c r="F66" s="2">
        <f>D66*E66</f>
      </c>
      <c r="G66" s="2">
        <f>F66*0.16</f>
      </c>
      <c r="H66" s="2">
        <f>F66+G66</f>
      </c>
    </row>
    <row r="67" spans="1:8" x14ac:dyDescent="0.25">
      <c r="A67" t="s">
        <v>139</v>
      </c>
      <c r="B67" t="s">
        <v>140</v>
      </c>
      <c r="C67" t="s">
        <v>23</v>
      </c>
      <c r="D67" s="1">
        <v>460.48</v>
      </c>
      <c r="E67" s="2">
        <v>1518.49</v>
      </c>
      <c r="F67" s="2">
        <f>D67*E67</f>
      </c>
      <c r="G67" s="2">
        <f>F67*0.16</f>
      </c>
      <c r="H67" s="2">
        <f>F67+G67</f>
      </c>
    </row>
    <row r="68" spans="1:8" x14ac:dyDescent="0.25">
      <c r="A68" t="s">
        <v>141</v>
      </c>
      <c r="B68" t="s">
        <v>142</v>
      </c>
      <c r="C68" t="s">
        <v>12</v>
      </c>
      <c r="D68" s="1">
        <v>76.87</v>
      </c>
      <c r="E68" s="2">
        <v>1577.76</v>
      </c>
      <c r="F68" s="2">
        <f>D68*E68</f>
      </c>
      <c r="G68" s="2">
        <f>F68*0.16</f>
      </c>
      <c r="H68" s="2">
        <f>F68+G68</f>
      </c>
    </row>
    <row r="69" spans="1:8" x14ac:dyDescent="0.25">
      <c r="A69" t="s">
        <v>143</v>
      </c>
      <c r="B69" t="s">
        <v>144</v>
      </c>
      <c r="C69" t="s">
        <v>41</v>
      </c>
      <c r="D69" s="1">
        <v>439.08</v>
      </c>
      <c r="E69" s="2">
        <v>533.29</v>
      </c>
      <c r="F69" s="2">
        <f>D69*E69</f>
      </c>
      <c r="G69" s="2">
        <f>F69*0.16</f>
      </c>
      <c r="H69" s="2">
        <f>F69+G69</f>
      </c>
    </row>
    <row r="70" spans="1:8" x14ac:dyDescent="0.25">
      <c r="A70" t="s">
        <v>145</v>
      </c>
      <c r="B70" t="s">
        <v>146</v>
      </c>
      <c r="C70" t="s">
        <v>34</v>
      </c>
      <c r="D70" s="1">
        <v>448.29</v>
      </c>
      <c r="E70" s="2">
        <v>3911.03</v>
      </c>
      <c r="F70" s="2">
        <f>D70*E70</f>
      </c>
      <c r="G70" s="2">
        <f>F70*0.16</f>
      </c>
      <c r="H70" s="2">
        <f>F70+G70</f>
      </c>
    </row>
    <row r="71" spans="1:8" x14ac:dyDescent="0.25">
      <c r="A71" t="s">
        <v>147</v>
      </c>
      <c r="B71" t="s">
        <v>148</v>
      </c>
      <c r="C71" t="s">
        <v>15</v>
      </c>
      <c r="D71" s="1">
        <v>179.37</v>
      </c>
      <c r="E71" s="2">
        <v>4965.09</v>
      </c>
      <c r="F71" s="2">
        <f>D71*E71</f>
      </c>
      <c r="G71" s="2">
        <f>F71*0.16</f>
      </c>
      <c r="H71" s="2">
        <f>F71+G71</f>
      </c>
    </row>
    <row r="72" spans="1:8" x14ac:dyDescent="0.25">
      <c r="A72" t="s">
        <v>149</v>
      </c>
      <c r="B72" t="s">
        <v>150</v>
      </c>
      <c r="C72" t="s">
        <v>41</v>
      </c>
      <c r="D72" s="1">
        <v>342.18</v>
      </c>
      <c r="E72" s="2">
        <v>2410.67</v>
      </c>
      <c r="F72" s="2">
        <f>D72*E72</f>
      </c>
      <c r="G72" s="2">
        <f>F72*0.16</f>
      </c>
      <c r="H72" s="2">
        <f>F72+G72</f>
      </c>
    </row>
    <row r="73" spans="1:8" x14ac:dyDescent="0.25">
      <c r="A73" t="s">
        <v>151</v>
      </c>
      <c r="B73" t="s">
        <v>152</v>
      </c>
      <c r="C73" t="s">
        <v>23</v>
      </c>
      <c r="D73" s="1">
        <v>407.95</v>
      </c>
      <c r="E73" s="2">
        <v>3171.54</v>
      </c>
      <c r="F73" s="2">
        <f>D73*E73</f>
      </c>
      <c r="G73" s="2">
        <f>F73*0.16</f>
      </c>
      <c r="H73" s="2">
        <f>F73+G73</f>
      </c>
    </row>
    <row r="74" spans="1:8" x14ac:dyDescent="0.25">
      <c r="A74" t="s">
        <v>153</v>
      </c>
      <c r="B74" t="s">
        <v>154</v>
      </c>
      <c r="C74" t="s">
        <v>34</v>
      </c>
      <c r="D74" s="1">
        <v>34.3</v>
      </c>
      <c r="E74" s="2">
        <v>44.07</v>
      </c>
      <c r="F74" s="2">
        <f>D74*E74</f>
      </c>
      <c r="G74" s="2">
        <f>F74*0.16</f>
      </c>
      <c r="H74" s="2">
        <f>F74+G74</f>
      </c>
    </row>
    <row r="75" spans="1:8" x14ac:dyDescent="0.25">
      <c r="A75" t="s">
        <v>155</v>
      </c>
      <c r="B75" t="s">
        <v>156</v>
      </c>
      <c r="C75" t="s">
        <v>41</v>
      </c>
      <c r="D75" s="1">
        <v>229.05</v>
      </c>
      <c r="E75" s="2">
        <v>909.37</v>
      </c>
      <c r="F75" s="2">
        <f>D75*E75</f>
      </c>
      <c r="G75" s="2">
        <f>F75*0.16</f>
      </c>
      <c r="H75" s="2">
        <f>F75+G75</f>
      </c>
    </row>
    <row r="76" spans="1:8" x14ac:dyDescent="0.25">
      <c r="A76" t="s">
        <v>157</v>
      </c>
      <c r="B76" t="s">
        <v>158</v>
      </c>
      <c r="C76" t="s">
        <v>15</v>
      </c>
      <c r="D76" s="1">
        <v>14.36</v>
      </c>
      <c r="E76" s="2">
        <v>1317.49</v>
      </c>
      <c r="F76" s="2">
        <f>D76*E76</f>
      </c>
      <c r="G76" s="2">
        <f>F76*0.16</f>
      </c>
      <c r="H76" s="2">
        <f>F76+G76</f>
      </c>
    </row>
    <row r="77" spans="1:8" x14ac:dyDescent="0.25">
      <c r="A77" t="s">
        <v>159</v>
      </c>
      <c r="B77" t="s">
        <v>160</v>
      </c>
      <c r="C77" t="s">
        <v>15</v>
      </c>
      <c r="D77" s="1">
        <v>327.81</v>
      </c>
      <c r="E77" s="2">
        <v>2661.99</v>
      </c>
      <c r="F77" s="2">
        <f>D77*E77</f>
      </c>
      <c r="G77" s="2">
        <f>F77*0.16</f>
      </c>
      <c r="H77" s="2">
        <f>F77+G77</f>
      </c>
    </row>
    <row r="78" spans="1:8" x14ac:dyDescent="0.25">
      <c r="A78" t="s">
        <v>161</v>
      </c>
      <c r="B78" t="s">
        <v>162</v>
      </c>
      <c r="C78" t="s">
        <v>15</v>
      </c>
      <c r="D78" s="1">
        <v>255.72</v>
      </c>
      <c r="E78" s="2">
        <v>4043.91</v>
      </c>
      <c r="F78" s="2">
        <f>D78*E78</f>
      </c>
      <c r="G78" s="2">
        <f>F78*0.16</f>
      </c>
      <c r="H78" s="2">
        <f>F78+G78</f>
      </c>
    </row>
    <row r="79" spans="1:8" x14ac:dyDescent="0.25">
      <c r="A79" t="s">
        <v>163</v>
      </c>
      <c r="B79" t="s">
        <v>164</v>
      </c>
      <c r="C79" t="s">
        <v>18</v>
      </c>
      <c r="D79" s="1">
        <v>471.78</v>
      </c>
      <c r="E79" s="2">
        <v>1111.94</v>
      </c>
      <c r="F79" s="2">
        <f>D79*E79</f>
      </c>
      <c r="G79" s="2">
        <f>F79*0.16</f>
      </c>
      <c r="H79" s="2">
        <f>F79+G79</f>
      </c>
    </row>
    <row r="80" spans="1:8" x14ac:dyDescent="0.25">
      <c r="A80" t="s">
        <v>165</v>
      </c>
      <c r="B80" t="s">
        <v>166</v>
      </c>
      <c r="C80" t="s">
        <v>18</v>
      </c>
      <c r="D80" s="1">
        <v>261.32</v>
      </c>
      <c r="E80" s="2">
        <v>3389.2</v>
      </c>
      <c r="F80" s="2">
        <f>D80*E80</f>
      </c>
      <c r="G80" s="2">
        <f>F80*0.16</f>
      </c>
      <c r="H80" s="2">
        <f>F80+G80</f>
      </c>
    </row>
    <row r="81" spans="1:8" x14ac:dyDescent="0.25">
      <c r="A81" t="s">
        <v>167</v>
      </c>
      <c r="B81" t="s">
        <v>168</v>
      </c>
      <c r="C81" t="s">
        <v>23</v>
      </c>
      <c r="D81" s="1">
        <v>318.73</v>
      </c>
      <c r="E81" s="2">
        <v>3228.26</v>
      </c>
      <c r="F81" s="2">
        <f>D81*E81</f>
      </c>
      <c r="G81" s="2">
        <f>F81*0.16</f>
      </c>
      <c r="H81" s="2">
        <f>F81+G81</f>
      </c>
    </row>
    <row r="82" spans="1:8" x14ac:dyDescent="0.25">
      <c r="A82" t="s">
        <v>169</v>
      </c>
      <c r="B82" t="s">
        <v>170</v>
      </c>
      <c r="C82" t="s">
        <v>41</v>
      </c>
      <c r="D82" s="1">
        <v>442.55</v>
      </c>
      <c r="E82" s="2">
        <v>3107.07</v>
      </c>
      <c r="F82" s="2">
        <f>D82*E82</f>
      </c>
      <c r="G82" s="2">
        <f>F82*0.16</f>
      </c>
      <c r="H82" s="2">
        <f>F82+G82</f>
      </c>
    </row>
    <row r="83" spans="1:8" x14ac:dyDescent="0.25">
      <c r="A83" t="s">
        <v>171</v>
      </c>
      <c r="B83" t="s">
        <v>172</v>
      </c>
      <c r="C83" t="s">
        <v>23</v>
      </c>
      <c r="D83" s="1">
        <v>465.31</v>
      </c>
      <c r="E83" s="2">
        <v>3181.94</v>
      </c>
      <c r="F83" s="2">
        <f>D83*E83</f>
      </c>
      <c r="G83" s="2">
        <f>F83*0.16</f>
      </c>
      <c r="H83" s="2">
        <f>F83+G83</f>
      </c>
    </row>
    <row r="84" spans="1:8" x14ac:dyDescent="0.25">
      <c r="A84" t="s">
        <v>173</v>
      </c>
      <c r="B84" t="s">
        <v>174</v>
      </c>
      <c r="C84" t="s">
        <v>18</v>
      </c>
      <c r="D84" s="1">
        <v>228.74</v>
      </c>
      <c r="E84" s="2">
        <v>2053.66</v>
      </c>
      <c r="F84" s="2">
        <f>D84*E84</f>
      </c>
      <c r="G84" s="2">
        <f>F84*0.16</f>
      </c>
      <c r="H84" s="2">
        <f>F84+G84</f>
      </c>
    </row>
    <row r="85" spans="1:8" x14ac:dyDescent="0.25">
      <c r="A85" t="s">
        <v>175</v>
      </c>
      <c r="B85" t="s">
        <v>176</v>
      </c>
      <c r="C85" t="s">
        <v>12</v>
      </c>
      <c r="D85" s="1">
        <v>436.58</v>
      </c>
      <c r="E85" s="2">
        <v>392.27</v>
      </c>
      <c r="F85" s="2">
        <f>D85*E85</f>
      </c>
      <c r="G85" s="2">
        <f>F85*0.16</f>
      </c>
      <c r="H85" s="2">
        <f>F85+G85</f>
      </c>
    </row>
    <row r="86" spans="1:8" x14ac:dyDescent="0.25">
      <c r="A86" t="s">
        <v>177</v>
      </c>
      <c r="B86" t="s">
        <v>178</v>
      </c>
      <c r="C86" t="s">
        <v>34</v>
      </c>
      <c r="D86" s="1">
        <v>120.79</v>
      </c>
      <c r="E86" s="2">
        <v>2246.76</v>
      </c>
      <c r="F86" s="2">
        <f>D86*E86</f>
      </c>
      <c r="G86" s="2">
        <f>F86*0.16</f>
      </c>
      <c r="H86" s="2">
        <f>F86+G86</f>
      </c>
    </row>
    <row r="87" spans="1:8" x14ac:dyDescent="0.25">
      <c r="A87" t="s">
        <v>179</v>
      </c>
      <c r="B87" t="s">
        <v>180</v>
      </c>
      <c r="C87" t="s">
        <v>34</v>
      </c>
      <c r="D87" s="1">
        <v>232.84</v>
      </c>
      <c r="E87" s="2">
        <v>1393.36</v>
      </c>
      <c r="F87" s="2">
        <f>D87*E87</f>
      </c>
      <c r="G87" s="2">
        <f>F87*0.16</f>
      </c>
      <c r="H87" s="2">
        <f>F87+G87</f>
      </c>
    </row>
    <row r="88" spans="1:8" s="8" customFormat="1" x14ac:dyDescent="0.25">
      <c r="A88" s="8" t="s">
        <v>46</v>
      </c>
      <c r="B88" s="8" t="s">
        <v>181</v>
      </c>
      <c r="C88" s="8" t="s">
        <v>46</v>
      </c>
      <c r="D88" s="9" t="s">
        <v>46</v>
      </c>
      <c r="E88" s="10" t="s">
        <v>46</v>
      </c>
      <c r="F88" s="10">
        <f>SUM(F48:F87)</f>
      </c>
      <c r="G88" s="10">
        <f>SUM(G48:G87)</f>
      </c>
      <c r="H88" s="10">
        <f>SUM(H48:H87)</f>
      </c>
    </row>
    <row r="89" spans="1:8" x14ac:dyDescent="0.25">
      <c r="A89" s="7" t="s">
        <v>182</v>
      </c>
      <c r="B89" s="7"/>
      <c r="C89" s="7"/>
      <c r="D89" s="7"/>
      <c r="E89" s="7"/>
      <c r="F89" s="7"/>
      <c r="G89" s="7"/>
      <c r="H89" s="7"/>
    </row>
    <row r="90" spans="1:8" x14ac:dyDescent="0.25">
      <c r="A90" t="s">
        <v>183</v>
      </c>
      <c r="B90" t="s">
        <v>184</v>
      </c>
      <c r="C90" t="s">
        <v>41</v>
      </c>
      <c r="D90" s="1">
        <v>386.38</v>
      </c>
      <c r="E90" s="2">
        <v>3936.08</v>
      </c>
      <c r="F90" s="2">
        <f>D90*E90</f>
      </c>
      <c r="G90" s="2">
        <f>F90*0.16</f>
      </c>
      <c r="H90" s="2">
        <f>F90+G90</f>
      </c>
    </row>
    <row r="91" spans="1:8" x14ac:dyDescent="0.25">
      <c r="A91" t="s">
        <v>185</v>
      </c>
      <c r="B91" t="s">
        <v>186</v>
      </c>
      <c r="C91" t="s">
        <v>23</v>
      </c>
      <c r="D91" s="1">
        <v>422.14</v>
      </c>
      <c r="E91" s="2">
        <v>4764.75</v>
      </c>
      <c r="F91" s="2">
        <f>D91*E91</f>
      </c>
      <c r="G91" s="2">
        <f>F91*0.16</f>
      </c>
      <c r="H91" s="2">
        <f>F91+G91</f>
      </c>
    </row>
    <row r="92" spans="1:8" x14ac:dyDescent="0.25">
      <c r="A92" t="s">
        <v>187</v>
      </c>
      <c r="B92" t="s">
        <v>188</v>
      </c>
      <c r="C92" t="s">
        <v>23</v>
      </c>
      <c r="D92" s="1">
        <v>459.5</v>
      </c>
      <c r="E92" s="2">
        <v>2594.07</v>
      </c>
      <c r="F92" s="2">
        <f>D92*E92</f>
      </c>
      <c r="G92" s="2">
        <f>F92*0.16</f>
      </c>
      <c r="H92" s="2">
        <f>F92+G92</f>
      </c>
    </row>
    <row r="93" spans="1:8" x14ac:dyDescent="0.25">
      <c r="A93" t="s">
        <v>189</v>
      </c>
      <c r="B93" t="s">
        <v>190</v>
      </c>
      <c r="C93" t="s">
        <v>12</v>
      </c>
      <c r="D93" s="1">
        <v>189.37</v>
      </c>
      <c r="E93" s="2">
        <v>3230.16</v>
      </c>
      <c r="F93" s="2">
        <f>D93*E93</f>
      </c>
      <c r="G93" s="2">
        <f>F93*0.16</f>
      </c>
      <c r="H93" s="2">
        <f>F93+G93</f>
      </c>
    </row>
    <row r="94" spans="1:8" x14ac:dyDescent="0.25">
      <c r="A94" t="s">
        <v>191</v>
      </c>
      <c r="B94" t="s">
        <v>192</v>
      </c>
      <c r="C94" t="s">
        <v>18</v>
      </c>
      <c r="D94" s="1">
        <v>35.03</v>
      </c>
      <c r="E94" s="2">
        <v>1402.77</v>
      </c>
      <c r="F94" s="2">
        <f>D94*E94</f>
      </c>
      <c r="G94" s="2">
        <f>F94*0.16</f>
      </c>
      <c r="H94" s="2">
        <f>F94+G94</f>
      </c>
    </row>
    <row r="95" spans="1:8" x14ac:dyDescent="0.25">
      <c r="A95" t="s">
        <v>193</v>
      </c>
      <c r="B95" t="s">
        <v>194</v>
      </c>
      <c r="C95" t="s">
        <v>41</v>
      </c>
      <c r="D95" s="1">
        <v>199.97</v>
      </c>
      <c r="E95" s="2">
        <v>1494.72</v>
      </c>
      <c r="F95" s="2">
        <f>D95*E95</f>
      </c>
      <c r="G95" s="2">
        <f>F95*0.16</f>
      </c>
      <c r="H95" s="2">
        <f>F95+G95</f>
      </c>
    </row>
    <row r="96" spans="1:8" x14ac:dyDescent="0.25">
      <c r="A96" t="s">
        <v>195</v>
      </c>
      <c r="B96" t="s">
        <v>196</v>
      </c>
      <c r="C96" t="s">
        <v>41</v>
      </c>
      <c r="D96" s="1">
        <v>467.16</v>
      </c>
      <c r="E96" s="2">
        <v>17.56</v>
      </c>
      <c r="F96" s="2">
        <f>D96*E96</f>
      </c>
      <c r="G96" s="2">
        <f>F96*0.16</f>
      </c>
      <c r="H96" s="2">
        <f>F96+G96</f>
      </c>
    </row>
    <row r="97" spans="1:8" x14ac:dyDescent="0.25">
      <c r="A97" t="s">
        <v>197</v>
      </c>
      <c r="B97" t="s">
        <v>198</v>
      </c>
      <c r="C97" t="s">
        <v>15</v>
      </c>
      <c r="D97" s="1">
        <v>348.29</v>
      </c>
      <c r="E97" s="2">
        <v>3837.4</v>
      </c>
      <c r="F97" s="2">
        <f>D97*E97</f>
      </c>
      <c r="G97" s="2">
        <f>F97*0.16</f>
      </c>
      <c r="H97" s="2">
        <f>F97+G97</f>
      </c>
    </row>
    <row r="98" spans="1:8" x14ac:dyDescent="0.25">
      <c r="A98" t="s">
        <v>199</v>
      </c>
      <c r="B98" t="s">
        <v>200</v>
      </c>
      <c r="C98" t="s">
        <v>23</v>
      </c>
      <c r="D98" s="1">
        <v>4.95</v>
      </c>
      <c r="E98" s="2">
        <v>724.28</v>
      </c>
      <c r="F98" s="2">
        <f>D98*E98</f>
      </c>
      <c r="G98" s="2">
        <f>F98*0.16</f>
      </c>
      <c r="H98" s="2">
        <f>F98+G98</f>
      </c>
    </row>
    <row r="99" spans="1:8" x14ac:dyDescent="0.25">
      <c r="A99" t="s">
        <v>201</v>
      </c>
      <c r="B99" t="s">
        <v>202</v>
      </c>
      <c r="C99" t="s">
        <v>34</v>
      </c>
      <c r="D99" s="1">
        <v>229.26</v>
      </c>
      <c r="E99" s="2">
        <v>4711.4</v>
      </c>
      <c r="F99" s="2">
        <f>D99*E99</f>
      </c>
      <c r="G99" s="2">
        <f>F99*0.16</f>
      </c>
      <c r="H99" s="2">
        <f>F99+G99</f>
      </c>
    </row>
    <row r="100" spans="1:8" x14ac:dyDescent="0.25">
      <c r="A100" t="s">
        <v>203</v>
      </c>
      <c r="B100" t="s">
        <v>204</v>
      </c>
      <c r="C100" t="s">
        <v>41</v>
      </c>
      <c r="D100" s="1">
        <v>251.77</v>
      </c>
      <c r="E100" s="2">
        <v>336.97</v>
      </c>
      <c r="F100" s="2">
        <f>D100*E100</f>
      </c>
      <c r="G100" s="2">
        <f>F100*0.16</f>
      </c>
      <c r="H100" s="2">
        <f>F100+G100</f>
      </c>
    </row>
    <row r="101" spans="1:8" x14ac:dyDescent="0.25">
      <c r="A101" t="s">
        <v>205</v>
      </c>
      <c r="B101" t="s">
        <v>206</v>
      </c>
      <c r="C101" t="s">
        <v>23</v>
      </c>
      <c r="D101" s="1">
        <v>439</v>
      </c>
      <c r="E101" s="2">
        <v>3101.78</v>
      </c>
      <c r="F101" s="2">
        <f>D101*E101</f>
      </c>
      <c r="G101" s="2">
        <f>F101*0.16</f>
      </c>
      <c r="H101" s="2">
        <f>F101+G101</f>
      </c>
    </row>
    <row r="102" spans="1:8" x14ac:dyDescent="0.25">
      <c r="A102" t="s">
        <v>207</v>
      </c>
      <c r="B102" t="s">
        <v>208</v>
      </c>
      <c r="C102" t="s">
        <v>15</v>
      </c>
      <c r="D102" s="1">
        <v>449.7</v>
      </c>
      <c r="E102" s="2">
        <v>2275.56</v>
      </c>
      <c r="F102" s="2">
        <f>D102*E102</f>
      </c>
      <c r="G102" s="2">
        <f>F102*0.16</f>
      </c>
      <c r="H102" s="2">
        <f>F102+G102</f>
      </c>
    </row>
    <row r="103" spans="1:8" x14ac:dyDescent="0.25">
      <c r="A103" t="s">
        <v>209</v>
      </c>
      <c r="B103" t="s">
        <v>210</v>
      </c>
      <c r="C103" t="s">
        <v>34</v>
      </c>
      <c r="D103" s="1">
        <v>33.79</v>
      </c>
      <c r="E103" s="2">
        <v>612.2</v>
      </c>
      <c r="F103" s="2">
        <f>D103*E103</f>
      </c>
      <c r="G103" s="2">
        <f>F103*0.16</f>
      </c>
      <c r="H103" s="2">
        <f>F103+G103</f>
      </c>
    </row>
    <row r="104" spans="1:8" x14ac:dyDescent="0.25">
      <c r="A104" t="s">
        <v>211</v>
      </c>
      <c r="B104" t="s">
        <v>212</v>
      </c>
      <c r="C104" t="s">
        <v>18</v>
      </c>
      <c r="D104" s="1">
        <v>365.12</v>
      </c>
      <c r="E104" s="2">
        <v>3425.54</v>
      </c>
      <c r="F104" s="2">
        <f>D104*E104</f>
      </c>
      <c r="G104" s="2">
        <f>F104*0.16</f>
      </c>
      <c r="H104" s="2">
        <f>F104+G104</f>
      </c>
    </row>
    <row r="105" spans="1:8" x14ac:dyDescent="0.25">
      <c r="A105" t="s">
        <v>213</v>
      </c>
      <c r="B105" t="s">
        <v>214</v>
      </c>
      <c r="C105" t="s">
        <v>34</v>
      </c>
      <c r="D105" s="1">
        <v>77.35</v>
      </c>
      <c r="E105" s="2">
        <v>3436.21</v>
      </c>
      <c r="F105" s="2">
        <f>D105*E105</f>
      </c>
      <c r="G105" s="2">
        <f>F105*0.16</f>
      </c>
      <c r="H105" s="2">
        <f>F105+G105</f>
      </c>
    </row>
    <row r="106" spans="1:8" x14ac:dyDescent="0.25">
      <c r="A106" t="s">
        <v>215</v>
      </c>
      <c r="B106" t="s">
        <v>216</v>
      </c>
      <c r="C106" t="s">
        <v>23</v>
      </c>
      <c r="D106" s="1">
        <v>242.59</v>
      </c>
      <c r="E106" s="2">
        <v>2255.99</v>
      </c>
      <c r="F106" s="2">
        <f>D106*E106</f>
      </c>
      <c r="G106" s="2">
        <f>F106*0.16</f>
      </c>
      <c r="H106" s="2">
        <f>F106+G106</f>
      </c>
    </row>
    <row r="107" spans="1:8" x14ac:dyDescent="0.25">
      <c r="A107" t="s">
        <v>217</v>
      </c>
      <c r="B107" t="s">
        <v>218</v>
      </c>
      <c r="C107" t="s">
        <v>23</v>
      </c>
      <c r="D107" s="1">
        <v>393.45</v>
      </c>
      <c r="E107" s="2">
        <v>1280.96</v>
      </c>
      <c r="F107" s="2">
        <f>D107*E107</f>
      </c>
      <c r="G107" s="2">
        <f>F107*0.16</f>
      </c>
      <c r="H107" s="2">
        <f>F107+G107</f>
      </c>
    </row>
    <row r="108" spans="1:8" x14ac:dyDescent="0.25">
      <c r="A108" t="s">
        <v>219</v>
      </c>
      <c r="B108" t="s">
        <v>220</v>
      </c>
      <c r="C108" t="s">
        <v>12</v>
      </c>
      <c r="D108" s="1">
        <v>128.88</v>
      </c>
      <c r="E108" s="2">
        <v>3725.61</v>
      </c>
      <c r="F108" s="2">
        <f>D108*E108</f>
      </c>
      <c r="G108" s="2">
        <f>F108*0.16</f>
      </c>
      <c r="H108" s="2">
        <f>F108+G108</f>
      </c>
    </row>
    <row r="109" spans="1:8" x14ac:dyDescent="0.25">
      <c r="A109" t="s">
        <v>221</v>
      </c>
      <c r="B109" t="s">
        <v>222</v>
      </c>
      <c r="C109" t="s">
        <v>15</v>
      </c>
      <c r="D109" s="1">
        <v>380.34</v>
      </c>
      <c r="E109" s="2">
        <v>4352.51</v>
      </c>
      <c r="F109" s="2">
        <f>D109*E109</f>
      </c>
      <c r="G109" s="2">
        <f>F109*0.16</f>
      </c>
      <c r="H109" s="2">
        <f>F109+G109</f>
      </c>
    </row>
    <row r="110" spans="1:8" x14ac:dyDescent="0.25">
      <c r="A110" t="s">
        <v>223</v>
      </c>
      <c r="B110" t="s">
        <v>224</v>
      </c>
      <c r="C110" t="s">
        <v>23</v>
      </c>
      <c r="D110" s="1">
        <v>406.41</v>
      </c>
      <c r="E110" s="2">
        <v>1232.22</v>
      </c>
      <c r="F110" s="2">
        <f>D110*E110</f>
      </c>
      <c r="G110" s="2">
        <f>F110*0.16</f>
      </c>
      <c r="H110" s="2">
        <f>F110+G110</f>
      </c>
    </row>
    <row r="111" spans="1:8" x14ac:dyDescent="0.25">
      <c r="A111" t="s">
        <v>225</v>
      </c>
      <c r="B111" t="s">
        <v>226</v>
      </c>
      <c r="C111" t="s">
        <v>41</v>
      </c>
      <c r="D111" s="1">
        <v>298.22</v>
      </c>
      <c r="E111" s="2">
        <v>2356.33</v>
      </c>
      <c r="F111" s="2">
        <f>D111*E111</f>
      </c>
      <c r="G111" s="2">
        <f>F111*0.16</f>
      </c>
      <c r="H111" s="2">
        <f>F111+G111</f>
      </c>
    </row>
    <row r="112" spans="1:8" x14ac:dyDescent="0.25">
      <c r="A112" t="s">
        <v>227</v>
      </c>
      <c r="B112" t="s">
        <v>228</v>
      </c>
      <c r="C112" t="s">
        <v>15</v>
      </c>
      <c r="D112" s="1">
        <v>75.32</v>
      </c>
      <c r="E112" s="2">
        <v>227.14</v>
      </c>
      <c r="F112" s="2">
        <f>D112*E112</f>
      </c>
      <c r="G112" s="2">
        <f>F112*0.16</f>
      </c>
      <c r="H112" s="2">
        <f>F112+G112</f>
      </c>
    </row>
    <row r="113" spans="1:8" x14ac:dyDescent="0.25">
      <c r="A113" t="s">
        <v>229</v>
      </c>
      <c r="B113" t="s">
        <v>230</v>
      </c>
      <c r="C113" t="s">
        <v>18</v>
      </c>
      <c r="D113" s="1">
        <v>397.58</v>
      </c>
      <c r="E113" s="2">
        <v>4534.69</v>
      </c>
      <c r="F113" s="2">
        <f>D113*E113</f>
      </c>
      <c r="G113" s="2">
        <f>F113*0.16</f>
      </c>
      <c r="H113" s="2">
        <f>F113+G113</f>
      </c>
    </row>
    <row r="114" spans="1:8" x14ac:dyDescent="0.25">
      <c r="A114" t="s">
        <v>231</v>
      </c>
      <c r="B114" t="s">
        <v>232</v>
      </c>
      <c r="C114" t="s">
        <v>34</v>
      </c>
      <c r="D114" s="1">
        <v>206.29</v>
      </c>
      <c r="E114" s="2">
        <v>2918.58</v>
      </c>
      <c r="F114" s="2">
        <f>D114*E114</f>
      </c>
      <c r="G114" s="2">
        <f>F114*0.16</f>
      </c>
      <c r="H114" s="2">
        <f>F114+G114</f>
      </c>
    </row>
    <row r="115" spans="1:8" x14ac:dyDescent="0.25">
      <c r="A115" t="s">
        <v>233</v>
      </c>
      <c r="B115" t="s">
        <v>234</v>
      </c>
      <c r="C115" t="s">
        <v>18</v>
      </c>
      <c r="D115" s="1">
        <v>26.16</v>
      </c>
      <c r="E115" s="2">
        <v>1413.75</v>
      </c>
      <c r="F115" s="2">
        <f>D115*E115</f>
      </c>
      <c r="G115" s="2">
        <f>F115*0.16</f>
      </c>
      <c r="H115" s="2">
        <f>F115+G115</f>
      </c>
    </row>
    <row r="116" spans="1:8" x14ac:dyDescent="0.25">
      <c r="A116" t="s">
        <v>235</v>
      </c>
      <c r="B116" t="s">
        <v>236</v>
      </c>
      <c r="C116" t="s">
        <v>41</v>
      </c>
      <c r="D116" s="1">
        <v>491.53</v>
      </c>
      <c r="E116" s="2">
        <v>3747.66</v>
      </c>
      <c r="F116" s="2">
        <f>D116*E116</f>
      </c>
      <c r="G116" s="2">
        <f>F116*0.16</f>
      </c>
      <c r="H116" s="2">
        <f>F116+G116</f>
      </c>
    </row>
    <row r="117" spans="1:8" x14ac:dyDescent="0.25">
      <c r="A117" t="s">
        <v>237</v>
      </c>
      <c r="B117" t="s">
        <v>238</v>
      </c>
      <c r="C117" t="s">
        <v>12</v>
      </c>
      <c r="D117" s="1">
        <v>268.27</v>
      </c>
      <c r="E117" s="2">
        <v>1113.4</v>
      </c>
      <c r="F117" s="2">
        <f>D117*E117</f>
      </c>
      <c r="G117" s="2">
        <f>F117*0.16</f>
      </c>
      <c r="H117" s="2">
        <f>F117+G117</f>
      </c>
    </row>
    <row r="118" spans="1:8" x14ac:dyDescent="0.25">
      <c r="A118" t="s">
        <v>239</v>
      </c>
      <c r="B118" t="s">
        <v>240</v>
      </c>
      <c r="C118" t="s">
        <v>12</v>
      </c>
      <c r="D118" s="1">
        <v>22.11</v>
      </c>
      <c r="E118" s="2">
        <v>602.15</v>
      </c>
      <c r="F118" s="2">
        <f>D118*E118</f>
      </c>
      <c r="G118" s="2">
        <f>F118*0.16</f>
      </c>
      <c r="H118" s="2">
        <f>F118+G118</f>
      </c>
    </row>
    <row r="119" spans="1:8" x14ac:dyDescent="0.25">
      <c r="A119" t="s">
        <v>241</v>
      </c>
      <c r="B119" t="s">
        <v>242</v>
      </c>
      <c r="C119" t="s">
        <v>18</v>
      </c>
      <c r="D119" s="1">
        <v>84.5</v>
      </c>
      <c r="E119" s="2">
        <v>4439.88</v>
      </c>
      <c r="F119" s="2">
        <f>D119*E119</f>
      </c>
      <c r="G119" s="2">
        <f>F119*0.16</f>
      </c>
      <c r="H119" s="2">
        <f>F119+G119</f>
      </c>
    </row>
    <row r="120" spans="1:8" s="8" customFormat="1" x14ac:dyDescent="0.25">
      <c r="A120" s="8" t="s">
        <v>46</v>
      </c>
      <c r="B120" s="8" t="s">
        <v>243</v>
      </c>
      <c r="C120" s="8" t="s">
        <v>46</v>
      </c>
      <c r="D120" s="9" t="s">
        <v>46</v>
      </c>
      <c r="E120" s="10" t="s">
        <v>46</v>
      </c>
      <c r="F120" s="10">
        <f>SUM(F90:F119)</f>
      </c>
      <c r="G120" s="10">
        <f>SUM(G90:G119)</f>
      </c>
      <c r="H120" s="10">
        <f>SUM(H90:H119)</f>
      </c>
    </row>
    <row r="121" spans="1:8" x14ac:dyDescent="0.25">
      <c r="A121" s="7" t="s">
        <v>244</v>
      </c>
      <c r="B121" s="7"/>
      <c r="C121" s="7"/>
      <c r="D121" s="7"/>
      <c r="E121" s="7"/>
      <c r="F121" s="7"/>
      <c r="G121" s="7"/>
      <c r="H121" s="7"/>
    </row>
    <row r="122" spans="1:8" x14ac:dyDescent="0.25">
      <c r="A122" t="s">
        <v>245</v>
      </c>
      <c r="B122" t="s">
        <v>246</v>
      </c>
      <c r="C122" t="s">
        <v>15</v>
      </c>
      <c r="D122" s="1">
        <v>460.77</v>
      </c>
      <c r="E122" s="2">
        <v>2051.32</v>
      </c>
      <c r="F122" s="2">
        <f>D122*E122</f>
      </c>
      <c r="G122" s="2">
        <f>F122*0.16</f>
      </c>
      <c r="H122" s="2">
        <f>F122+G122</f>
      </c>
    </row>
    <row r="123" spans="1:8" x14ac:dyDescent="0.25">
      <c r="A123" t="s">
        <v>247</v>
      </c>
      <c r="B123" t="s">
        <v>248</v>
      </c>
      <c r="C123" t="s">
        <v>15</v>
      </c>
      <c r="D123" s="1">
        <v>288.04</v>
      </c>
      <c r="E123" s="2">
        <v>54.08</v>
      </c>
      <c r="F123" s="2">
        <f>D123*E123</f>
      </c>
      <c r="G123" s="2">
        <f>F123*0.16</f>
      </c>
      <c r="H123" s="2">
        <f>F123+G123</f>
      </c>
    </row>
    <row r="124" spans="1:8" x14ac:dyDescent="0.25">
      <c r="A124" t="s">
        <v>249</v>
      </c>
      <c r="B124" t="s">
        <v>250</v>
      </c>
      <c r="C124" t="s">
        <v>41</v>
      </c>
      <c r="D124" s="1">
        <v>480.28</v>
      </c>
      <c r="E124" s="2">
        <v>4663.85</v>
      </c>
      <c r="F124" s="2">
        <f>D124*E124</f>
      </c>
      <c r="G124" s="2">
        <f>F124*0.16</f>
      </c>
      <c r="H124" s="2">
        <f>F124+G124</f>
      </c>
    </row>
    <row r="125" spans="1:8" x14ac:dyDescent="0.25">
      <c r="A125" t="s">
        <v>251</v>
      </c>
      <c r="B125" t="s">
        <v>252</v>
      </c>
      <c r="C125" t="s">
        <v>18</v>
      </c>
      <c r="D125" s="1">
        <v>234.52</v>
      </c>
      <c r="E125" s="2">
        <v>233.73</v>
      </c>
      <c r="F125" s="2">
        <f>D125*E125</f>
      </c>
      <c r="G125" s="2">
        <f>F125*0.16</f>
      </c>
      <c r="H125" s="2">
        <f>F125+G125</f>
      </c>
    </row>
    <row r="126" spans="1:8" x14ac:dyDescent="0.25">
      <c r="A126" t="s">
        <v>253</v>
      </c>
      <c r="B126" t="s">
        <v>254</v>
      </c>
      <c r="C126" t="s">
        <v>12</v>
      </c>
      <c r="D126" s="1">
        <v>428.15</v>
      </c>
      <c r="E126" s="2">
        <v>2522</v>
      </c>
      <c r="F126" s="2">
        <f>D126*E126</f>
      </c>
      <c r="G126" s="2">
        <f>F126*0.16</f>
      </c>
      <c r="H126" s="2">
        <f>F126+G126</f>
      </c>
    </row>
    <row r="127" spans="1:8" x14ac:dyDescent="0.25">
      <c r="A127" t="s">
        <v>255</v>
      </c>
      <c r="B127" t="s">
        <v>256</v>
      </c>
      <c r="C127" t="s">
        <v>23</v>
      </c>
      <c r="D127" s="1">
        <v>299.94</v>
      </c>
      <c r="E127" s="2">
        <v>2068.71</v>
      </c>
      <c r="F127" s="2">
        <f>D127*E127</f>
      </c>
      <c r="G127" s="2">
        <f>F127*0.16</f>
      </c>
      <c r="H127" s="2">
        <f>F127+G127</f>
      </c>
    </row>
    <row r="128" spans="1:8" x14ac:dyDescent="0.25">
      <c r="A128" t="s">
        <v>257</v>
      </c>
      <c r="B128" t="s">
        <v>258</v>
      </c>
      <c r="C128" t="s">
        <v>23</v>
      </c>
      <c r="D128" s="1">
        <v>330.1</v>
      </c>
      <c r="E128" s="2">
        <v>3912.4</v>
      </c>
      <c r="F128" s="2">
        <f>D128*E128</f>
      </c>
      <c r="G128" s="2">
        <f>F128*0.16</f>
      </c>
      <c r="H128" s="2">
        <f>F128+G128</f>
      </c>
    </row>
    <row r="129" spans="1:8" x14ac:dyDescent="0.25">
      <c r="A129" t="s">
        <v>259</v>
      </c>
      <c r="B129" t="s">
        <v>260</v>
      </c>
      <c r="C129" t="s">
        <v>34</v>
      </c>
      <c r="D129" s="1">
        <v>214.46</v>
      </c>
      <c r="E129" s="2">
        <v>3321.37</v>
      </c>
      <c r="F129" s="2">
        <f>D129*E129</f>
      </c>
      <c r="G129" s="2">
        <f>F129*0.16</f>
      </c>
      <c r="H129" s="2">
        <f>F129+G129</f>
      </c>
    </row>
    <row r="130" spans="1:8" x14ac:dyDescent="0.25">
      <c r="A130" t="s">
        <v>261</v>
      </c>
      <c r="B130" t="s">
        <v>262</v>
      </c>
      <c r="C130" t="s">
        <v>41</v>
      </c>
      <c r="D130" s="1">
        <v>378.76</v>
      </c>
      <c r="E130" s="2">
        <v>2571</v>
      </c>
      <c r="F130" s="2">
        <f>D130*E130</f>
      </c>
      <c r="G130" s="2">
        <f>F130*0.16</f>
      </c>
      <c r="H130" s="2">
        <f>F130+G130</f>
      </c>
    </row>
    <row r="131" spans="1:8" x14ac:dyDescent="0.25">
      <c r="A131" t="s">
        <v>263</v>
      </c>
      <c r="B131" t="s">
        <v>264</v>
      </c>
      <c r="C131" t="s">
        <v>18</v>
      </c>
      <c r="D131" s="1">
        <v>118.08</v>
      </c>
      <c r="E131" s="2">
        <v>4958.93</v>
      </c>
      <c r="F131" s="2">
        <f>D131*E131</f>
      </c>
      <c r="G131" s="2">
        <f>F131*0.16</f>
      </c>
      <c r="H131" s="2">
        <f>F131+G131</f>
      </c>
    </row>
    <row r="132" spans="1:8" x14ac:dyDescent="0.25">
      <c r="A132" t="s">
        <v>265</v>
      </c>
      <c r="B132" t="s">
        <v>266</v>
      </c>
      <c r="C132" t="s">
        <v>12</v>
      </c>
      <c r="D132" s="1">
        <v>142.63</v>
      </c>
      <c r="E132" s="2">
        <v>4316.08</v>
      </c>
      <c r="F132" s="2">
        <f>D132*E132</f>
      </c>
      <c r="G132" s="2">
        <f>F132*0.16</f>
      </c>
      <c r="H132" s="2">
        <f>F132+G132</f>
      </c>
    </row>
    <row r="133" spans="1:8" x14ac:dyDescent="0.25">
      <c r="A133" t="s">
        <v>267</v>
      </c>
      <c r="B133" t="s">
        <v>268</v>
      </c>
      <c r="C133" t="s">
        <v>23</v>
      </c>
      <c r="D133" s="1">
        <v>334.45</v>
      </c>
      <c r="E133" s="2">
        <v>2422.16</v>
      </c>
      <c r="F133" s="2">
        <f>D133*E133</f>
      </c>
      <c r="G133" s="2">
        <f>F133*0.16</f>
      </c>
      <c r="H133" s="2">
        <f>F133+G133</f>
      </c>
    </row>
    <row r="134" spans="1:8" x14ac:dyDescent="0.25">
      <c r="A134" t="s">
        <v>269</v>
      </c>
      <c r="B134" t="s">
        <v>270</v>
      </c>
      <c r="C134" t="s">
        <v>34</v>
      </c>
      <c r="D134" s="1">
        <v>174.54</v>
      </c>
      <c r="E134" s="2">
        <v>878.47</v>
      </c>
      <c r="F134" s="2">
        <f>D134*E134</f>
      </c>
      <c r="G134" s="2">
        <f>F134*0.16</f>
      </c>
      <c r="H134" s="2">
        <f>F134+G134</f>
      </c>
    </row>
    <row r="135" spans="1:8" x14ac:dyDescent="0.25">
      <c r="A135" t="s">
        <v>271</v>
      </c>
      <c r="B135" t="s">
        <v>272</v>
      </c>
      <c r="C135" t="s">
        <v>12</v>
      </c>
      <c r="D135" s="1">
        <v>176.26</v>
      </c>
      <c r="E135" s="2">
        <v>1153.36</v>
      </c>
      <c r="F135" s="2">
        <f>D135*E135</f>
      </c>
      <c r="G135" s="2">
        <f>F135*0.16</f>
      </c>
      <c r="H135" s="2">
        <f>F135+G135</f>
      </c>
    </row>
    <row r="136" spans="1:8" x14ac:dyDescent="0.25">
      <c r="A136" t="s">
        <v>273</v>
      </c>
      <c r="B136" t="s">
        <v>274</v>
      </c>
      <c r="C136" t="s">
        <v>18</v>
      </c>
      <c r="D136" s="1">
        <v>99.81</v>
      </c>
      <c r="E136" s="2">
        <v>4774.92</v>
      </c>
      <c r="F136" s="2">
        <f>D136*E136</f>
      </c>
      <c r="G136" s="2">
        <f>F136*0.16</f>
      </c>
      <c r="H136" s="2">
        <f>F136+G136</f>
      </c>
    </row>
    <row r="137" spans="1:8" x14ac:dyDescent="0.25">
      <c r="A137" t="s">
        <v>275</v>
      </c>
      <c r="B137" t="s">
        <v>276</v>
      </c>
      <c r="C137" t="s">
        <v>34</v>
      </c>
      <c r="D137" s="1">
        <v>381.83</v>
      </c>
      <c r="E137" s="2">
        <v>4840.65</v>
      </c>
      <c r="F137" s="2">
        <f>D137*E137</f>
      </c>
      <c r="G137" s="2">
        <f>F137*0.16</f>
      </c>
      <c r="H137" s="2">
        <f>F137+G137</f>
      </c>
    </row>
    <row r="138" spans="1:8" x14ac:dyDescent="0.25">
      <c r="A138" t="s">
        <v>277</v>
      </c>
      <c r="B138" t="s">
        <v>278</v>
      </c>
      <c r="C138" t="s">
        <v>12</v>
      </c>
      <c r="D138" s="1">
        <v>422.06</v>
      </c>
      <c r="E138" s="2">
        <v>2414.45</v>
      </c>
      <c r="F138" s="2">
        <f>D138*E138</f>
      </c>
      <c r="G138" s="2">
        <f>F138*0.16</f>
      </c>
      <c r="H138" s="2">
        <f>F138+G138</f>
      </c>
    </row>
    <row r="139" spans="1:8" x14ac:dyDescent="0.25">
      <c r="A139" t="s">
        <v>279</v>
      </c>
      <c r="B139" t="s">
        <v>280</v>
      </c>
      <c r="C139" t="s">
        <v>41</v>
      </c>
      <c r="D139" s="1">
        <v>161</v>
      </c>
      <c r="E139" s="2">
        <v>321.62</v>
      </c>
      <c r="F139" s="2">
        <f>D139*E139</f>
      </c>
      <c r="G139" s="2">
        <f>F139*0.16</f>
      </c>
      <c r="H139" s="2">
        <f>F139+G139</f>
      </c>
    </row>
    <row r="140" spans="1:8" x14ac:dyDescent="0.25">
      <c r="A140" t="s">
        <v>281</v>
      </c>
      <c r="B140" t="s">
        <v>282</v>
      </c>
      <c r="C140" t="s">
        <v>23</v>
      </c>
      <c r="D140" s="1">
        <v>363.74</v>
      </c>
      <c r="E140" s="2">
        <v>1333.98</v>
      </c>
      <c r="F140" s="2">
        <f>D140*E140</f>
      </c>
      <c r="G140" s="2">
        <f>F140*0.16</f>
      </c>
      <c r="H140" s="2">
        <f>F140+G140</f>
      </c>
    </row>
    <row r="141" spans="1:8" x14ac:dyDescent="0.25">
      <c r="A141" t="s">
        <v>283</v>
      </c>
      <c r="B141" t="s">
        <v>284</v>
      </c>
      <c r="C141" t="s">
        <v>15</v>
      </c>
      <c r="D141" s="1">
        <v>290.38</v>
      </c>
      <c r="E141" s="2">
        <v>3404.14</v>
      </c>
      <c r="F141" s="2">
        <f>D141*E141</f>
      </c>
      <c r="G141" s="2">
        <f>F141*0.16</f>
      </c>
      <c r="H141" s="2">
        <f>F141+G141</f>
      </c>
    </row>
    <row r="142" spans="1:8" x14ac:dyDescent="0.25">
      <c r="A142" t="s">
        <v>285</v>
      </c>
      <c r="B142" t="s">
        <v>286</v>
      </c>
      <c r="C142" t="s">
        <v>23</v>
      </c>
      <c r="D142" s="1">
        <v>424.65</v>
      </c>
      <c r="E142" s="2">
        <v>2909.27</v>
      </c>
      <c r="F142" s="2">
        <f>D142*E142</f>
      </c>
      <c r="G142" s="2">
        <f>F142*0.16</f>
      </c>
      <c r="H142" s="2">
        <f>F142+G142</f>
      </c>
    </row>
    <row r="143" spans="1:8" x14ac:dyDescent="0.25">
      <c r="A143" t="s">
        <v>287</v>
      </c>
      <c r="B143" t="s">
        <v>288</v>
      </c>
      <c r="C143" t="s">
        <v>12</v>
      </c>
      <c r="D143" s="1">
        <v>211.01</v>
      </c>
      <c r="E143" s="2">
        <v>4478</v>
      </c>
      <c r="F143" s="2">
        <f>D143*E143</f>
      </c>
      <c r="G143" s="2">
        <f>F143*0.16</f>
      </c>
      <c r="H143" s="2">
        <f>F143+G143</f>
      </c>
    </row>
    <row r="144" spans="1:8" x14ac:dyDescent="0.25">
      <c r="A144" t="s">
        <v>289</v>
      </c>
      <c r="B144" t="s">
        <v>290</v>
      </c>
      <c r="C144" t="s">
        <v>18</v>
      </c>
      <c r="D144" s="1">
        <v>254.45</v>
      </c>
      <c r="E144" s="2">
        <v>2314.75</v>
      </c>
      <c r="F144" s="2">
        <f>D144*E144</f>
      </c>
      <c r="G144" s="2">
        <f>F144*0.16</f>
      </c>
      <c r="H144" s="2">
        <f>F144+G144</f>
      </c>
    </row>
    <row r="145" spans="1:8" x14ac:dyDescent="0.25">
      <c r="A145" t="s">
        <v>291</v>
      </c>
      <c r="B145" t="s">
        <v>292</v>
      </c>
      <c r="C145" t="s">
        <v>18</v>
      </c>
      <c r="D145" s="1">
        <v>145.01</v>
      </c>
      <c r="E145" s="2">
        <v>1266.3</v>
      </c>
      <c r="F145" s="2">
        <f>D145*E145</f>
      </c>
      <c r="G145" s="2">
        <f>F145*0.16</f>
      </c>
      <c r="H145" s="2">
        <f>F145+G145</f>
      </c>
    </row>
    <row r="146" spans="1:8" x14ac:dyDescent="0.25">
      <c r="A146" t="s">
        <v>293</v>
      </c>
      <c r="B146" t="s">
        <v>294</v>
      </c>
      <c r="C146" t="s">
        <v>41</v>
      </c>
      <c r="D146" s="1">
        <v>339.33</v>
      </c>
      <c r="E146" s="2">
        <v>730.25</v>
      </c>
      <c r="F146" s="2">
        <f>D146*E146</f>
      </c>
      <c r="G146" s="2">
        <f>F146*0.16</f>
      </c>
      <c r="H146" s="2">
        <f>F146+G146</f>
      </c>
    </row>
    <row r="147" spans="1:8" x14ac:dyDescent="0.25">
      <c r="A147" t="s">
        <v>295</v>
      </c>
      <c r="B147" t="s">
        <v>296</v>
      </c>
      <c r="C147" t="s">
        <v>23</v>
      </c>
      <c r="D147" s="1">
        <v>386.76</v>
      </c>
      <c r="E147" s="2">
        <v>2520.61</v>
      </c>
      <c r="F147" s="2">
        <f>D147*E147</f>
      </c>
      <c r="G147" s="2">
        <f>F147*0.16</f>
      </c>
      <c r="H147" s="2">
        <f>F147+G147</f>
      </c>
    </row>
    <row r="148" spans="1:8" x14ac:dyDescent="0.25">
      <c r="A148" t="s">
        <v>297</v>
      </c>
      <c r="B148" t="s">
        <v>298</v>
      </c>
      <c r="C148" t="s">
        <v>18</v>
      </c>
      <c r="D148" s="1">
        <v>172.87</v>
      </c>
      <c r="E148" s="2">
        <v>2523.64</v>
      </c>
      <c r="F148" s="2">
        <f>D148*E148</f>
      </c>
      <c r="G148" s="2">
        <f>F148*0.16</f>
      </c>
      <c r="H148" s="2">
        <f>F148+G148</f>
      </c>
    </row>
    <row r="149" spans="1:8" x14ac:dyDescent="0.25">
      <c r="A149" t="s">
        <v>299</v>
      </c>
      <c r="B149" t="s">
        <v>300</v>
      </c>
      <c r="C149" t="s">
        <v>15</v>
      </c>
      <c r="D149" s="1">
        <v>92.7</v>
      </c>
      <c r="E149" s="2">
        <v>4346.57</v>
      </c>
      <c r="F149" s="2">
        <f>D149*E149</f>
      </c>
      <c r="G149" s="2">
        <f>F149*0.16</f>
      </c>
      <c r="H149" s="2">
        <f>F149+G149</f>
      </c>
    </row>
    <row r="150" spans="1:8" x14ac:dyDescent="0.25">
      <c r="A150" t="s">
        <v>301</v>
      </c>
      <c r="B150" t="s">
        <v>302</v>
      </c>
      <c r="C150" t="s">
        <v>34</v>
      </c>
      <c r="D150" s="1">
        <v>288.33</v>
      </c>
      <c r="E150" s="2">
        <v>583.35</v>
      </c>
      <c r="F150" s="2">
        <f>D150*E150</f>
      </c>
      <c r="G150" s="2">
        <f>F150*0.16</f>
      </c>
      <c r="H150" s="2">
        <f>F150+G150</f>
      </c>
    </row>
    <row r="151" spans="1:8" x14ac:dyDescent="0.25">
      <c r="A151" t="s">
        <v>303</v>
      </c>
      <c r="B151" t="s">
        <v>304</v>
      </c>
      <c r="C151" t="s">
        <v>12</v>
      </c>
      <c r="D151" s="1">
        <v>42.48</v>
      </c>
      <c r="E151" s="2">
        <v>2618.62</v>
      </c>
      <c r="F151" s="2">
        <f>D151*E151</f>
      </c>
      <c r="G151" s="2">
        <f>F151*0.16</f>
      </c>
      <c r="H151" s="2">
        <f>F151+G151</f>
      </c>
    </row>
    <row r="152" spans="1:8" x14ac:dyDescent="0.25">
      <c r="A152" t="s">
        <v>305</v>
      </c>
      <c r="B152" t="s">
        <v>306</v>
      </c>
      <c r="C152" t="s">
        <v>41</v>
      </c>
      <c r="D152" s="1">
        <v>7.29</v>
      </c>
      <c r="E152" s="2">
        <v>313.65</v>
      </c>
      <c r="F152" s="2">
        <f>D152*E152</f>
      </c>
      <c r="G152" s="2">
        <f>F152*0.16</f>
      </c>
      <c r="H152" s="2">
        <f>F152+G152</f>
      </c>
    </row>
    <row r="153" spans="1:8" x14ac:dyDescent="0.25">
      <c r="A153" t="s">
        <v>307</v>
      </c>
      <c r="B153" t="s">
        <v>308</v>
      </c>
      <c r="C153" t="s">
        <v>41</v>
      </c>
      <c r="D153" s="1">
        <v>133.08</v>
      </c>
      <c r="E153" s="2">
        <v>3597.17</v>
      </c>
      <c r="F153" s="2">
        <f>D153*E153</f>
      </c>
      <c r="G153" s="2">
        <f>F153*0.16</f>
      </c>
      <c r="H153" s="2">
        <f>F153+G153</f>
      </c>
    </row>
    <row r="154" spans="1:8" x14ac:dyDescent="0.25">
      <c r="A154" t="s">
        <v>309</v>
      </c>
      <c r="B154" t="s">
        <v>310</v>
      </c>
      <c r="C154" t="s">
        <v>15</v>
      </c>
      <c r="D154" s="1">
        <v>198.67</v>
      </c>
      <c r="E154" s="2">
        <v>2785.12</v>
      </c>
      <c r="F154" s="2">
        <f>D154*E154</f>
      </c>
      <c r="G154" s="2">
        <f>F154*0.16</f>
      </c>
      <c r="H154" s="2">
        <f>F154+G154</f>
      </c>
    </row>
    <row r="155" spans="1:8" x14ac:dyDescent="0.25">
      <c r="A155" t="s">
        <v>311</v>
      </c>
      <c r="B155" t="s">
        <v>312</v>
      </c>
      <c r="C155" t="s">
        <v>34</v>
      </c>
      <c r="D155" s="1">
        <v>312.04</v>
      </c>
      <c r="E155" s="2">
        <v>929.49</v>
      </c>
      <c r="F155" s="2">
        <f>D155*E155</f>
      </c>
      <c r="G155" s="2">
        <f>F155*0.16</f>
      </c>
      <c r="H155" s="2">
        <f>F155+G155</f>
      </c>
    </row>
    <row r="156" spans="1:8" x14ac:dyDescent="0.25">
      <c r="A156" t="s">
        <v>313</v>
      </c>
      <c r="B156" t="s">
        <v>314</v>
      </c>
      <c r="C156" t="s">
        <v>23</v>
      </c>
      <c r="D156" s="1">
        <v>490.07</v>
      </c>
      <c r="E156" s="2">
        <v>4886.26</v>
      </c>
      <c r="F156" s="2">
        <f>D156*E156</f>
      </c>
      <c r="G156" s="2">
        <f>F156*0.16</f>
      </c>
      <c r="H156" s="2">
        <f>F156+G156</f>
      </c>
    </row>
    <row r="157" spans="1:8" s="8" customFormat="1" x14ac:dyDescent="0.25">
      <c r="A157" s="8" t="s">
        <v>46</v>
      </c>
      <c r="B157" s="8" t="s">
        <v>315</v>
      </c>
      <c r="C157" s="8" t="s">
        <v>46</v>
      </c>
      <c r="D157" s="9" t="s">
        <v>46</v>
      </c>
      <c r="E157" s="10" t="s">
        <v>46</v>
      </c>
      <c r="F157" s="10">
        <f>SUM(F122:F156)</f>
      </c>
      <c r="G157" s="10">
        <f>SUM(G122:G156)</f>
      </c>
      <c r="H157" s="10">
        <f>SUM(H122:H156)</f>
      </c>
    </row>
    <row r="158" spans="1:8" x14ac:dyDescent="0.25">
      <c r="A158" s="7" t="s">
        <v>316</v>
      </c>
      <c r="B158" s="7"/>
      <c r="C158" s="7"/>
      <c r="D158" s="7"/>
      <c r="E158" s="7"/>
      <c r="F158" s="7"/>
      <c r="G158" s="7"/>
      <c r="H158" s="7"/>
    </row>
    <row r="159" spans="1:8" x14ac:dyDescent="0.25">
      <c r="A159" t="s">
        <v>317</v>
      </c>
      <c r="B159" t="s">
        <v>318</v>
      </c>
      <c r="C159" t="s">
        <v>15</v>
      </c>
      <c r="D159" s="1">
        <v>245.26</v>
      </c>
      <c r="E159" s="2">
        <v>1846.94</v>
      </c>
      <c r="F159" s="2">
        <f>D159*E159</f>
      </c>
      <c r="G159" s="2">
        <f>F159*0.16</f>
      </c>
      <c r="H159" s="2">
        <f>F159+G159</f>
      </c>
    </row>
    <row r="160" spans="1:8" x14ac:dyDescent="0.25">
      <c r="A160" t="s">
        <v>319</v>
      </c>
      <c r="B160" t="s">
        <v>320</v>
      </c>
      <c r="C160" t="s">
        <v>18</v>
      </c>
      <c r="D160" s="1">
        <v>323.2</v>
      </c>
      <c r="E160" s="2">
        <v>2920.14</v>
      </c>
      <c r="F160" s="2">
        <f>D160*E160</f>
      </c>
      <c r="G160" s="2">
        <f>F160*0.16</f>
      </c>
      <c r="H160" s="2">
        <f>F160+G160</f>
      </c>
    </row>
    <row r="161" spans="1:8" x14ac:dyDescent="0.25">
      <c r="A161" t="s">
        <v>321</v>
      </c>
      <c r="B161" t="s">
        <v>322</v>
      </c>
      <c r="C161" t="s">
        <v>18</v>
      </c>
      <c r="D161" s="1">
        <v>225.27</v>
      </c>
      <c r="E161" s="2">
        <v>788.73</v>
      </c>
      <c r="F161" s="2">
        <f>D161*E161</f>
      </c>
      <c r="G161" s="2">
        <f>F161*0.16</f>
      </c>
      <c r="H161" s="2">
        <f>F161+G161</f>
      </c>
    </row>
    <row r="162" spans="1:8" x14ac:dyDescent="0.25">
      <c r="A162" t="s">
        <v>323</v>
      </c>
      <c r="B162" t="s">
        <v>324</v>
      </c>
      <c r="C162" t="s">
        <v>41</v>
      </c>
      <c r="D162" s="1">
        <v>167.17</v>
      </c>
      <c r="E162" s="2">
        <v>3155.74</v>
      </c>
      <c r="F162" s="2">
        <f>D162*E162</f>
      </c>
      <c r="G162" s="2">
        <f>F162*0.16</f>
      </c>
      <c r="H162" s="2">
        <f>F162+G162</f>
      </c>
    </row>
    <row r="163" spans="1:8" x14ac:dyDescent="0.25">
      <c r="A163" t="s">
        <v>325</v>
      </c>
      <c r="B163" t="s">
        <v>326</v>
      </c>
      <c r="C163" t="s">
        <v>23</v>
      </c>
      <c r="D163" s="1">
        <v>437.64</v>
      </c>
      <c r="E163" s="2">
        <v>712.45</v>
      </c>
      <c r="F163" s="2">
        <f>D163*E163</f>
      </c>
      <c r="G163" s="2">
        <f>F163*0.16</f>
      </c>
      <c r="H163" s="2">
        <f>F163+G163</f>
      </c>
    </row>
    <row r="164" spans="1:8" x14ac:dyDescent="0.25">
      <c r="A164" t="s">
        <v>327</v>
      </c>
      <c r="B164" t="s">
        <v>328</v>
      </c>
      <c r="C164" t="s">
        <v>34</v>
      </c>
      <c r="D164" s="1">
        <v>299.5</v>
      </c>
      <c r="E164" s="2">
        <v>461.1</v>
      </c>
      <c r="F164" s="2">
        <f>D164*E164</f>
      </c>
      <c r="G164" s="2">
        <f>F164*0.16</f>
      </c>
      <c r="H164" s="2">
        <f>F164+G164</f>
      </c>
    </row>
    <row r="165" spans="1:8" x14ac:dyDescent="0.25">
      <c r="A165" t="s">
        <v>329</v>
      </c>
      <c r="B165" t="s">
        <v>330</v>
      </c>
      <c r="C165" t="s">
        <v>23</v>
      </c>
      <c r="D165" s="1">
        <v>176.47</v>
      </c>
      <c r="E165" s="2">
        <v>4922.47</v>
      </c>
      <c r="F165" s="2">
        <f>D165*E165</f>
      </c>
      <c r="G165" s="2">
        <f>F165*0.16</f>
      </c>
      <c r="H165" s="2">
        <f>F165+G165</f>
      </c>
    </row>
    <row r="166" spans="1:8" x14ac:dyDescent="0.25">
      <c r="A166" t="s">
        <v>331</v>
      </c>
      <c r="B166" t="s">
        <v>332</v>
      </c>
      <c r="C166" t="s">
        <v>15</v>
      </c>
      <c r="D166" s="1">
        <v>484.69</v>
      </c>
      <c r="E166" s="2">
        <v>567.95</v>
      </c>
      <c r="F166" s="2">
        <f>D166*E166</f>
      </c>
      <c r="G166" s="2">
        <f>F166*0.16</f>
      </c>
      <c r="H166" s="2">
        <f>F166+G166</f>
      </c>
    </row>
    <row r="167" spans="1:8" x14ac:dyDescent="0.25">
      <c r="A167" t="s">
        <v>333</v>
      </c>
      <c r="B167" t="s">
        <v>334</v>
      </c>
      <c r="C167" t="s">
        <v>41</v>
      </c>
      <c r="D167" s="1">
        <v>349.29</v>
      </c>
      <c r="E167" s="2">
        <v>2399.14</v>
      </c>
      <c r="F167" s="2">
        <f>D167*E167</f>
      </c>
      <c r="G167" s="2">
        <f>F167*0.16</f>
      </c>
      <c r="H167" s="2">
        <f>F167+G167</f>
      </c>
    </row>
    <row r="168" spans="1:8" x14ac:dyDescent="0.25">
      <c r="A168" t="s">
        <v>335</v>
      </c>
      <c r="B168" t="s">
        <v>336</v>
      </c>
      <c r="C168" t="s">
        <v>15</v>
      </c>
      <c r="D168" s="1">
        <v>379.38</v>
      </c>
      <c r="E168" s="2">
        <v>3518.56</v>
      </c>
      <c r="F168" s="2">
        <f>D168*E168</f>
      </c>
      <c r="G168" s="2">
        <f>F168*0.16</f>
      </c>
      <c r="H168" s="2">
        <f>F168+G168</f>
      </c>
    </row>
    <row r="169" spans="1:8" x14ac:dyDescent="0.25">
      <c r="A169" t="s">
        <v>337</v>
      </c>
      <c r="B169" t="s">
        <v>338</v>
      </c>
      <c r="C169" t="s">
        <v>34</v>
      </c>
      <c r="D169" s="1">
        <v>391.27</v>
      </c>
      <c r="E169" s="2">
        <v>3672.37</v>
      </c>
      <c r="F169" s="2">
        <f>D169*E169</f>
      </c>
      <c r="G169" s="2">
        <f>F169*0.16</f>
      </c>
      <c r="H169" s="2">
        <f>F169+G169</f>
      </c>
    </row>
    <row r="170" spans="1:8" x14ac:dyDescent="0.25">
      <c r="A170" t="s">
        <v>339</v>
      </c>
      <c r="B170" t="s">
        <v>340</v>
      </c>
      <c r="C170" t="s">
        <v>41</v>
      </c>
      <c r="D170" s="1">
        <v>446.32</v>
      </c>
      <c r="E170" s="2">
        <v>524.05</v>
      </c>
      <c r="F170" s="2">
        <f>D170*E170</f>
      </c>
      <c r="G170" s="2">
        <f>F170*0.16</f>
      </c>
      <c r="H170" s="2">
        <f>F170+G170</f>
      </c>
    </row>
    <row r="171" spans="1:8" x14ac:dyDescent="0.25">
      <c r="A171" t="s">
        <v>341</v>
      </c>
      <c r="B171" t="s">
        <v>342</v>
      </c>
      <c r="C171" t="s">
        <v>15</v>
      </c>
      <c r="D171" s="1">
        <v>261.12</v>
      </c>
      <c r="E171" s="2">
        <v>4006.59</v>
      </c>
      <c r="F171" s="2">
        <f>D171*E171</f>
      </c>
      <c r="G171" s="2">
        <f>F171*0.16</f>
      </c>
      <c r="H171" s="2">
        <f>F171+G171</f>
      </c>
    </row>
    <row r="172" spans="1:8" x14ac:dyDescent="0.25">
      <c r="A172" t="s">
        <v>343</v>
      </c>
      <c r="B172" t="s">
        <v>344</v>
      </c>
      <c r="C172" t="s">
        <v>41</v>
      </c>
      <c r="D172" s="1">
        <v>299.57</v>
      </c>
      <c r="E172" s="2">
        <v>3907.27</v>
      </c>
      <c r="F172" s="2">
        <f>D172*E172</f>
      </c>
      <c r="G172" s="2">
        <f>F172*0.16</f>
      </c>
      <c r="H172" s="2">
        <f>F172+G172</f>
      </c>
    </row>
    <row r="173" spans="1:8" x14ac:dyDescent="0.25">
      <c r="A173" t="s">
        <v>345</v>
      </c>
      <c r="B173" t="s">
        <v>346</v>
      </c>
      <c r="C173" t="s">
        <v>12</v>
      </c>
      <c r="D173" s="1">
        <v>366.32</v>
      </c>
      <c r="E173" s="2">
        <v>2896.52</v>
      </c>
      <c r="F173" s="2">
        <f>D173*E173</f>
      </c>
      <c r="G173" s="2">
        <f>F173*0.16</f>
      </c>
      <c r="H173" s="2">
        <f>F173+G173</f>
      </c>
    </row>
    <row r="174" spans="1:8" x14ac:dyDescent="0.25">
      <c r="A174" t="s">
        <v>347</v>
      </c>
      <c r="B174" t="s">
        <v>348</v>
      </c>
      <c r="C174" t="s">
        <v>12</v>
      </c>
      <c r="D174" s="1">
        <v>218.22</v>
      </c>
      <c r="E174" s="2">
        <v>3722.94</v>
      </c>
      <c r="F174" s="2">
        <f>D174*E174</f>
      </c>
      <c r="G174" s="2">
        <f>F174*0.16</f>
      </c>
      <c r="H174" s="2">
        <f>F174+G174</f>
      </c>
    </row>
    <row r="175" spans="1:8" x14ac:dyDescent="0.25">
      <c r="A175" t="s">
        <v>349</v>
      </c>
      <c r="B175" t="s">
        <v>350</v>
      </c>
      <c r="C175" t="s">
        <v>34</v>
      </c>
      <c r="D175" s="1">
        <v>266.93</v>
      </c>
      <c r="E175" s="2">
        <v>3980.12</v>
      </c>
      <c r="F175" s="2">
        <f>D175*E175</f>
      </c>
      <c r="G175" s="2">
        <f>F175*0.16</f>
      </c>
      <c r="H175" s="2">
        <f>F175+G175</f>
      </c>
    </row>
    <row r="176" spans="1:8" x14ac:dyDescent="0.25">
      <c r="A176" t="s">
        <v>351</v>
      </c>
      <c r="B176" t="s">
        <v>352</v>
      </c>
      <c r="C176" t="s">
        <v>12</v>
      </c>
      <c r="D176" s="1">
        <v>96.15</v>
      </c>
      <c r="E176" s="2">
        <v>3508.44</v>
      </c>
      <c r="F176" s="2">
        <f>D176*E176</f>
      </c>
      <c r="G176" s="2">
        <f>F176*0.16</f>
      </c>
      <c r="H176" s="2">
        <f>F176+G176</f>
      </c>
    </row>
    <row r="177" spans="1:8" x14ac:dyDescent="0.25">
      <c r="A177" t="s">
        <v>353</v>
      </c>
      <c r="B177" t="s">
        <v>354</v>
      </c>
      <c r="C177" t="s">
        <v>18</v>
      </c>
      <c r="D177" s="1">
        <v>175.83</v>
      </c>
      <c r="E177" s="2">
        <v>587.67</v>
      </c>
      <c r="F177" s="2">
        <f>D177*E177</f>
      </c>
      <c r="G177" s="2">
        <f>F177*0.16</f>
      </c>
      <c r="H177" s="2">
        <f>F177+G177</f>
      </c>
    </row>
    <row r="178" spans="1:8" x14ac:dyDescent="0.25">
      <c r="A178" t="s">
        <v>355</v>
      </c>
      <c r="B178" t="s">
        <v>356</v>
      </c>
      <c r="C178" t="s">
        <v>23</v>
      </c>
      <c r="D178" s="1">
        <v>485.72</v>
      </c>
      <c r="E178" s="2">
        <v>1997.94</v>
      </c>
      <c r="F178" s="2">
        <f>D178*E178</f>
      </c>
      <c r="G178" s="2">
        <f>F178*0.16</f>
      </c>
      <c r="H178" s="2">
        <f>F178+G178</f>
      </c>
    </row>
    <row r="179" spans="1:8" x14ac:dyDescent="0.25">
      <c r="A179" t="s">
        <v>357</v>
      </c>
      <c r="B179" t="s">
        <v>358</v>
      </c>
      <c r="C179" t="s">
        <v>34</v>
      </c>
      <c r="D179" s="1">
        <v>207.08</v>
      </c>
      <c r="E179" s="2">
        <v>274.98</v>
      </c>
      <c r="F179" s="2">
        <f>D179*E179</f>
      </c>
      <c r="G179" s="2">
        <f>F179*0.16</f>
      </c>
      <c r="H179" s="2">
        <f>F179+G179</f>
      </c>
    </row>
    <row r="180" spans="1:8" x14ac:dyDescent="0.25">
      <c r="A180" t="s">
        <v>359</v>
      </c>
      <c r="B180" t="s">
        <v>360</v>
      </c>
      <c r="C180" t="s">
        <v>23</v>
      </c>
      <c r="D180" s="1">
        <v>179.9</v>
      </c>
      <c r="E180" s="2">
        <v>4083.8</v>
      </c>
      <c r="F180" s="2">
        <f>D180*E180</f>
      </c>
      <c r="G180" s="2">
        <f>F180*0.16</f>
      </c>
      <c r="H180" s="2">
        <f>F180+G180</f>
      </c>
    </row>
    <row r="181" spans="1:8" x14ac:dyDescent="0.25">
      <c r="A181" t="s">
        <v>361</v>
      </c>
      <c r="B181" t="s">
        <v>362</v>
      </c>
      <c r="C181" t="s">
        <v>18</v>
      </c>
      <c r="D181" s="1">
        <v>208.79</v>
      </c>
      <c r="E181" s="2">
        <v>676.81</v>
      </c>
      <c r="F181" s="2">
        <f>D181*E181</f>
      </c>
      <c r="G181" s="2">
        <f>F181*0.16</f>
      </c>
      <c r="H181" s="2">
        <f>F181+G181</f>
      </c>
    </row>
    <row r="182" spans="1:8" x14ac:dyDescent="0.25">
      <c r="A182" t="s">
        <v>363</v>
      </c>
      <c r="B182" t="s">
        <v>364</v>
      </c>
      <c r="C182" t="s">
        <v>23</v>
      </c>
      <c r="D182" s="1">
        <v>244.72</v>
      </c>
      <c r="E182" s="2">
        <v>4785.59</v>
      </c>
      <c r="F182" s="2">
        <f>D182*E182</f>
      </c>
      <c r="G182" s="2">
        <f>F182*0.16</f>
      </c>
      <c r="H182" s="2">
        <f>F182+G182</f>
      </c>
    </row>
    <row r="183" spans="1:8" x14ac:dyDescent="0.25">
      <c r="A183" t="s">
        <v>365</v>
      </c>
      <c r="B183" t="s">
        <v>366</v>
      </c>
      <c r="C183" t="s">
        <v>23</v>
      </c>
      <c r="D183" s="1">
        <v>346.12</v>
      </c>
      <c r="E183" s="2">
        <v>4170.45</v>
      </c>
      <c r="F183" s="2">
        <f>D183*E183</f>
      </c>
      <c r="G183" s="2">
        <f>F183*0.16</f>
      </c>
      <c r="H183" s="2">
        <f>F183+G183</f>
      </c>
    </row>
    <row r="184" spans="1:8" s="8" customFormat="1" x14ac:dyDescent="0.25">
      <c r="A184" s="8" t="s">
        <v>46</v>
      </c>
      <c r="B184" s="8" t="s">
        <v>367</v>
      </c>
      <c r="C184" s="8" t="s">
        <v>46</v>
      </c>
      <c r="D184" s="9" t="s">
        <v>46</v>
      </c>
      <c r="E184" s="10" t="s">
        <v>46</v>
      </c>
      <c r="F184" s="10">
        <f>SUM(F159:F183)</f>
      </c>
      <c r="G184" s="10">
        <f>SUM(G159:G183)</f>
      </c>
      <c r="H184" s="10">
        <f>SUM(H159:H183)</f>
      </c>
    </row>
    <row r="185" spans="1:8" x14ac:dyDescent="0.25">
      <c r="A185" s="7" t="s">
        <v>368</v>
      </c>
      <c r="B185" s="7"/>
      <c r="C185" s="7"/>
      <c r="D185" s="7"/>
      <c r="E185" s="7"/>
      <c r="F185" s="7"/>
      <c r="G185" s="7"/>
      <c r="H185" s="7"/>
    </row>
    <row r="186" spans="1:8" x14ac:dyDescent="0.25">
      <c r="A186" t="s">
        <v>369</v>
      </c>
      <c r="B186" t="s">
        <v>370</v>
      </c>
      <c r="C186" t="s">
        <v>18</v>
      </c>
      <c r="D186" s="1">
        <v>342.72</v>
      </c>
      <c r="E186" s="2">
        <v>2132.76</v>
      </c>
      <c r="F186" s="2">
        <f>D186*E186</f>
      </c>
      <c r="G186" s="2">
        <f>F186*0.16</f>
      </c>
      <c r="H186" s="2">
        <f>F186+G186</f>
      </c>
    </row>
    <row r="187" spans="1:8" x14ac:dyDescent="0.25">
      <c r="A187" t="s">
        <v>371</v>
      </c>
      <c r="B187" t="s">
        <v>372</v>
      </c>
      <c r="C187" t="s">
        <v>23</v>
      </c>
      <c r="D187" s="1">
        <v>86.15</v>
      </c>
      <c r="E187" s="2">
        <v>2337.02</v>
      </c>
      <c r="F187" s="2">
        <f>D187*E187</f>
      </c>
      <c r="G187" s="2">
        <f>F187*0.16</f>
      </c>
      <c r="H187" s="2">
        <f>F187+G187</f>
      </c>
    </row>
    <row r="188" spans="1:8" x14ac:dyDescent="0.25">
      <c r="A188" t="s">
        <v>373</v>
      </c>
      <c r="B188" t="s">
        <v>374</v>
      </c>
      <c r="C188" t="s">
        <v>18</v>
      </c>
      <c r="D188" s="1">
        <v>325.61</v>
      </c>
      <c r="E188" s="2">
        <v>2929.5</v>
      </c>
      <c r="F188" s="2">
        <f>D188*E188</f>
      </c>
      <c r="G188" s="2">
        <f>F188*0.16</f>
      </c>
      <c r="H188" s="2">
        <f>F188+G188</f>
      </c>
    </row>
    <row r="189" spans="1:8" x14ac:dyDescent="0.25">
      <c r="A189" t="s">
        <v>375</v>
      </c>
      <c r="B189" t="s">
        <v>376</v>
      </c>
      <c r="C189" t="s">
        <v>41</v>
      </c>
      <c r="D189" s="1">
        <v>66.22</v>
      </c>
      <c r="E189" s="2">
        <v>4509.08</v>
      </c>
      <c r="F189" s="2">
        <f>D189*E189</f>
      </c>
      <c r="G189" s="2">
        <f>F189*0.16</f>
      </c>
      <c r="H189" s="2">
        <f>F189+G189</f>
      </c>
    </row>
    <row r="190" spans="1:8" x14ac:dyDescent="0.25">
      <c r="A190" t="s">
        <v>377</v>
      </c>
      <c r="B190" t="s">
        <v>378</v>
      </c>
      <c r="C190" t="s">
        <v>41</v>
      </c>
      <c r="D190" s="1">
        <v>194.74</v>
      </c>
      <c r="E190" s="2">
        <v>234.46</v>
      </c>
      <c r="F190" s="2">
        <f>D190*E190</f>
      </c>
      <c r="G190" s="2">
        <f>F190*0.16</f>
      </c>
      <c r="H190" s="2">
        <f>F190+G190</f>
      </c>
    </row>
    <row r="191" spans="1:8" x14ac:dyDescent="0.25">
      <c r="A191" t="s">
        <v>379</v>
      </c>
      <c r="B191" t="s">
        <v>380</v>
      </c>
      <c r="C191" t="s">
        <v>12</v>
      </c>
      <c r="D191" s="1">
        <v>393.42</v>
      </c>
      <c r="E191" s="2">
        <v>3452.36</v>
      </c>
      <c r="F191" s="2">
        <f>D191*E191</f>
      </c>
      <c r="G191" s="2">
        <f>F191*0.16</f>
      </c>
      <c r="H191" s="2">
        <f>F191+G191</f>
      </c>
    </row>
    <row r="192" spans="1:8" x14ac:dyDescent="0.25">
      <c r="A192" t="s">
        <v>381</v>
      </c>
      <c r="B192" t="s">
        <v>382</v>
      </c>
      <c r="C192" t="s">
        <v>23</v>
      </c>
      <c r="D192" s="1">
        <v>347.77</v>
      </c>
      <c r="E192" s="2">
        <v>4489.52</v>
      </c>
      <c r="F192" s="2">
        <f>D192*E192</f>
      </c>
      <c r="G192" s="2">
        <f>F192*0.16</f>
      </c>
      <c r="H192" s="2">
        <f>F192+G192</f>
      </c>
    </row>
    <row r="193" spans="1:8" x14ac:dyDescent="0.25">
      <c r="A193" t="s">
        <v>383</v>
      </c>
      <c r="B193" t="s">
        <v>384</v>
      </c>
      <c r="C193" t="s">
        <v>23</v>
      </c>
      <c r="D193" s="1">
        <v>380.3</v>
      </c>
      <c r="E193" s="2">
        <v>2523.25</v>
      </c>
      <c r="F193" s="2">
        <f>D193*E193</f>
      </c>
      <c r="G193" s="2">
        <f>F193*0.16</f>
      </c>
      <c r="H193" s="2">
        <f>F193+G193</f>
      </c>
    </row>
    <row r="194" spans="1:8" x14ac:dyDescent="0.25">
      <c r="A194" t="s">
        <v>385</v>
      </c>
      <c r="B194" t="s">
        <v>386</v>
      </c>
      <c r="C194" t="s">
        <v>41</v>
      </c>
      <c r="D194" s="1">
        <v>16.93</v>
      </c>
      <c r="E194" s="2">
        <v>2759.45</v>
      </c>
      <c r="F194" s="2">
        <f>D194*E194</f>
      </c>
      <c r="G194" s="2">
        <f>F194*0.16</f>
      </c>
      <c r="H194" s="2">
        <f>F194+G194</f>
      </c>
    </row>
    <row r="195" spans="1:8" x14ac:dyDescent="0.25">
      <c r="A195" t="s">
        <v>387</v>
      </c>
      <c r="B195" t="s">
        <v>388</v>
      </c>
      <c r="C195" t="s">
        <v>15</v>
      </c>
      <c r="D195" s="1">
        <v>152.28</v>
      </c>
      <c r="E195" s="2">
        <v>4412.37</v>
      </c>
      <c r="F195" s="2">
        <f>D195*E195</f>
      </c>
      <c r="G195" s="2">
        <f>F195*0.16</f>
      </c>
      <c r="H195" s="2">
        <f>F195+G195</f>
      </c>
    </row>
    <row r="196" spans="1:8" x14ac:dyDescent="0.25">
      <c r="A196" t="s">
        <v>389</v>
      </c>
      <c r="B196" t="s">
        <v>390</v>
      </c>
      <c r="C196" t="s">
        <v>12</v>
      </c>
      <c r="D196" s="1">
        <v>206.43</v>
      </c>
      <c r="E196" s="2">
        <v>1129.41</v>
      </c>
      <c r="F196" s="2">
        <f>D196*E196</f>
      </c>
      <c r="G196" s="2">
        <f>F196*0.16</f>
      </c>
      <c r="H196" s="2">
        <f>F196+G196</f>
      </c>
    </row>
    <row r="197" spans="1:8" x14ac:dyDescent="0.25">
      <c r="A197" t="s">
        <v>391</v>
      </c>
      <c r="B197" t="s">
        <v>392</v>
      </c>
      <c r="C197" t="s">
        <v>18</v>
      </c>
      <c r="D197" s="1">
        <v>206.98</v>
      </c>
      <c r="E197" s="2">
        <v>907.42</v>
      </c>
      <c r="F197" s="2">
        <f>D197*E197</f>
      </c>
      <c r="G197" s="2">
        <f>F197*0.16</f>
      </c>
      <c r="H197" s="2">
        <f>F197+G197</f>
      </c>
    </row>
    <row r="198" spans="1:8" x14ac:dyDescent="0.25">
      <c r="A198" t="s">
        <v>393</v>
      </c>
      <c r="B198" t="s">
        <v>394</v>
      </c>
      <c r="C198" t="s">
        <v>23</v>
      </c>
      <c r="D198" s="1">
        <v>215.31</v>
      </c>
      <c r="E198" s="2">
        <v>1664.96</v>
      </c>
      <c r="F198" s="2">
        <f>D198*E198</f>
      </c>
      <c r="G198" s="2">
        <f>F198*0.16</f>
      </c>
      <c r="H198" s="2">
        <f>F198+G198</f>
      </c>
    </row>
    <row r="199" spans="1:8" x14ac:dyDescent="0.25">
      <c r="A199" t="s">
        <v>395</v>
      </c>
      <c r="B199" t="s">
        <v>396</v>
      </c>
      <c r="C199" t="s">
        <v>23</v>
      </c>
      <c r="D199" s="1">
        <v>197.16</v>
      </c>
      <c r="E199" s="2">
        <v>2696.37</v>
      </c>
      <c r="F199" s="2">
        <f>D199*E199</f>
      </c>
      <c r="G199" s="2">
        <f>F199*0.16</f>
      </c>
      <c r="H199" s="2">
        <f>F199+G199</f>
      </c>
    </row>
    <row r="200" spans="1:8" x14ac:dyDescent="0.25">
      <c r="A200" t="s">
        <v>397</v>
      </c>
      <c r="B200" t="s">
        <v>398</v>
      </c>
      <c r="C200" t="s">
        <v>23</v>
      </c>
      <c r="D200" s="1">
        <v>443.2</v>
      </c>
      <c r="E200" s="2">
        <v>1290.7</v>
      </c>
      <c r="F200" s="2">
        <f>D200*E200</f>
      </c>
      <c r="G200" s="2">
        <f>F200*0.16</f>
      </c>
      <c r="H200" s="2">
        <f>F200+G200</f>
      </c>
    </row>
    <row r="201" spans="1:8" x14ac:dyDescent="0.25">
      <c r="A201" t="s">
        <v>399</v>
      </c>
      <c r="B201" t="s">
        <v>400</v>
      </c>
      <c r="C201" t="s">
        <v>12</v>
      </c>
      <c r="D201" s="1">
        <v>400.95</v>
      </c>
      <c r="E201" s="2">
        <v>4514.78</v>
      </c>
      <c r="F201" s="2">
        <f>D201*E201</f>
      </c>
      <c r="G201" s="2">
        <f>F201*0.16</f>
      </c>
      <c r="H201" s="2">
        <f>F201+G201</f>
      </c>
    </row>
    <row r="202" spans="1:8" x14ac:dyDescent="0.25">
      <c r="A202" t="s">
        <v>401</v>
      </c>
      <c r="B202" t="s">
        <v>402</v>
      </c>
      <c r="C202" t="s">
        <v>41</v>
      </c>
      <c r="D202" s="1">
        <v>17.81</v>
      </c>
      <c r="E202" s="2">
        <v>3955.8</v>
      </c>
      <c r="F202" s="2">
        <f>D202*E202</f>
      </c>
      <c r="G202" s="2">
        <f>F202*0.16</f>
      </c>
      <c r="H202" s="2">
        <f>F202+G202</f>
      </c>
    </row>
    <row r="203" spans="1:8" x14ac:dyDescent="0.25">
      <c r="A203" t="s">
        <v>403</v>
      </c>
      <c r="B203" t="s">
        <v>404</v>
      </c>
      <c r="C203" t="s">
        <v>41</v>
      </c>
      <c r="D203" s="1">
        <v>327.38</v>
      </c>
      <c r="E203" s="2">
        <v>4193.17</v>
      </c>
      <c r="F203" s="2">
        <f>D203*E203</f>
      </c>
      <c r="G203" s="2">
        <f>F203*0.16</f>
      </c>
      <c r="H203" s="2">
        <f>F203+G203</f>
      </c>
    </row>
    <row r="204" spans="1:8" x14ac:dyDescent="0.25">
      <c r="A204" t="s">
        <v>405</v>
      </c>
      <c r="B204" t="s">
        <v>406</v>
      </c>
      <c r="C204" t="s">
        <v>41</v>
      </c>
      <c r="D204" s="1">
        <v>425.5</v>
      </c>
      <c r="E204" s="2">
        <v>1753.38</v>
      </c>
      <c r="F204" s="2">
        <f>D204*E204</f>
      </c>
      <c r="G204" s="2">
        <f>F204*0.16</f>
      </c>
      <c r="H204" s="2">
        <f>F204+G204</f>
      </c>
    </row>
    <row r="205" spans="1:8" x14ac:dyDescent="0.25">
      <c r="A205" t="s">
        <v>407</v>
      </c>
      <c r="B205" t="s">
        <v>408</v>
      </c>
      <c r="C205" t="s">
        <v>41</v>
      </c>
      <c r="D205" s="1">
        <v>65.41</v>
      </c>
      <c r="E205" s="2">
        <v>2717.03</v>
      </c>
      <c r="F205" s="2">
        <f>D205*E205</f>
      </c>
      <c r="G205" s="2">
        <f>F205*0.16</f>
      </c>
      <c r="H205" s="2">
        <f>F205+G205</f>
      </c>
    </row>
    <row r="206" spans="1:8" x14ac:dyDescent="0.25">
      <c r="A206" t="s">
        <v>409</v>
      </c>
      <c r="B206" t="s">
        <v>410</v>
      </c>
      <c r="C206" t="s">
        <v>23</v>
      </c>
      <c r="D206" s="1">
        <v>256.88</v>
      </c>
      <c r="E206" s="2">
        <v>504.73</v>
      </c>
      <c r="F206" s="2">
        <f>D206*E206</f>
      </c>
      <c r="G206" s="2">
        <f>F206*0.16</f>
      </c>
      <c r="H206" s="2">
        <f>F206+G206</f>
      </c>
    </row>
    <row r="207" spans="1:8" x14ac:dyDescent="0.25">
      <c r="A207" t="s">
        <v>411</v>
      </c>
      <c r="B207" t="s">
        <v>412</v>
      </c>
      <c r="C207" t="s">
        <v>23</v>
      </c>
      <c r="D207" s="1">
        <v>445.45</v>
      </c>
      <c r="E207" s="2">
        <v>377.92</v>
      </c>
      <c r="F207" s="2">
        <f>D207*E207</f>
      </c>
      <c r="G207" s="2">
        <f>F207*0.16</f>
      </c>
      <c r="H207" s="2">
        <f>F207+G207</f>
      </c>
    </row>
    <row r="208" spans="1:8" x14ac:dyDescent="0.25">
      <c r="A208" t="s">
        <v>413</v>
      </c>
      <c r="B208" t="s">
        <v>414</v>
      </c>
      <c r="C208" t="s">
        <v>23</v>
      </c>
      <c r="D208" s="1">
        <v>84.21</v>
      </c>
      <c r="E208" s="2">
        <v>4081.62</v>
      </c>
      <c r="F208" s="2">
        <f>D208*E208</f>
      </c>
      <c r="G208" s="2">
        <f>F208*0.16</f>
      </c>
      <c r="H208" s="2">
        <f>F208+G208</f>
      </c>
    </row>
    <row r="209" spans="1:8" x14ac:dyDescent="0.25">
      <c r="A209" t="s">
        <v>415</v>
      </c>
      <c r="B209" t="s">
        <v>416</v>
      </c>
      <c r="C209" t="s">
        <v>18</v>
      </c>
      <c r="D209" s="1">
        <v>102.76</v>
      </c>
      <c r="E209" s="2">
        <v>304.01</v>
      </c>
      <c r="F209" s="2">
        <f>D209*E209</f>
      </c>
      <c r="G209" s="2">
        <f>F209*0.16</f>
      </c>
      <c r="H209" s="2">
        <f>F209+G209</f>
      </c>
    </row>
    <row r="210" spans="1:8" x14ac:dyDescent="0.25">
      <c r="A210" t="s">
        <v>417</v>
      </c>
      <c r="B210" t="s">
        <v>418</v>
      </c>
      <c r="C210" t="s">
        <v>34</v>
      </c>
      <c r="D210" s="1">
        <v>322.36</v>
      </c>
      <c r="E210" s="2">
        <v>4576.51</v>
      </c>
      <c r="F210" s="2">
        <f>D210*E210</f>
      </c>
      <c r="G210" s="2">
        <f>F210*0.16</f>
      </c>
      <c r="H210" s="2">
        <f>F210+G210</f>
      </c>
    </row>
    <row r="211" spans="1:8" x14ac:dyDescent="0.25">
      <c r="A211" t="s">
        <v>419</v>
      </c>
      <c r="B211" t="s">
        <v>420</v>
      </c>
      <c r="C211" t="s">
        <v>12</v>
      </c>
      <c r="D211" s="1">
        <v>279.59</v>
      </c>
      <c r="E211" s="2">
        <v>4878.9</v>
      </c>
      <c r="F211" s="2">
        <f>D211*E211</f>
      </c>
      <c r="G211" s="2">
        <f>F211*0.16</f>
      </c>
      <c r="H211" s="2">
        <f>F211+G211</f>
      </c>
    </row>
    <row r="212" spans="1:8" x14ac:dyDescent="0.25">
      <c r="A212" t="s">
        <v>421</v>
      </c>
      <c r="B212" t="s">
        <v>422</v>
      </c>
      <c r="C212" t="s">
        <v>12</v>
      </c>
      <c r="D212" s="1">
        <v>369.13</v>
      </c>
      <c r="E212" s="2">
        <v>2400.95</v>
      </c>
      <c r="F212" s="2">
        <f>D212*E212</f>
      </c>
      <c r="G212" s="2">
        <f>F212*0.16</f>
      </c>
      <c r="H212" s="2">
        <f>F212+G212</f>
      </c>
    </row>
    <row r="213" spans="1:8" x14ac:dyDescent="0.25">
      <c r="A213" t="s">
        <v>423</v>
      </c>
      <c r="B213" t="s">
        <v>424</v>
      </c>
      <c r="C213" t="s">
        <v>23</v>
      </c>
      <c r="D213" s="1">
        <v>259.49</v>
      </c>
      <c r="E213" s="2">
        <v>3532.71</v>
      </c>
      <c r="F213" s="2">
        <f>D213*E213</f>
      </c>
      <c r="G213" s="2">
        <f>F213*0.16</f>
      </c>
      <c r="H213" s="2">
        <f>F213+G213</f>
      </c>
    </row>
    <row r="214" spans="1:8" x14ac:dyDescent="0.25">
      <c r="A214" t="s">
        <v>425</v>
      </c>
      <c r="B214" t="s">
        <v>426</v>
      </c>
      <c r="C214" t="s">
        <v>18</v>
      </c>
      <c r="D214" s="1">
        <v>89.14</v>
      </c>
      <c r="E214" s="2">
        <v>159.01</v>
      </c>
      <c r="F214" s="2">
        <f>D214*E214</f>
      </c>
      <c r="G214" s="2">
        <f>F214*0.16</f>
      </c>
      <c r="H214" s="2">
        <f>F214+G214</f>
      </c>
    </row>
    <row r="215" spans="1:8" x14ac:dyDescent="0.25">
      <c r="A215" t="s">
        <v>427</v>
      </c>
      <c r="B215" t="s">
        <v>428</v>
      </c>
      <c r="C215" t="s">
        <v>15</v>
      </c>
      <c r="D215" s="1">
        <v>240.12</v>
      </c>
      <c r="E215" s="2">
        <v>4822.52</v>
      </c>
      <c r="F215" s="2">
        <f>D215*E215</f>
      </c>
      <c r="G215" s="2">
        <f>F215*0.16</f>
      </c>
      <c r="H215" s="2">
        <f>F215+G215</f>
      </c>
    </row>
    <row r="216" spans="1:8" x14ac:dyDescent="0.25">
      <c r="A216" t="s">
        <v>429</v>
      </c>
      <c r="B216" t="s">
        <v>430</v>
      </c>
      <c r="C216" t="s">
        <v>15</v>
      </c>
      <c r="D216" s="1">
        <v>174.83</v>
      </c>
      <c r="E216" s="2">
        <v>2323.33</v>
      </c>
      <c r="F216" s="2">
        <f>D216*E216</f>
      </c>
      <c r="G216" s="2">
        <f>F216*0.16</f>
      </c>
      <c r="H216" s="2">
        <f>F216+G216</f>
      </c>
    </row>
    <row r="217" spans="1:8" x14ac:dyDescent="0.25">
      <c r="A217" t="s">
        <v>431</v>
      </c>
      <c r="B217" t="s">
        <v>432</v>
      </c>
      <c r="C217" t="s">
        <v>41</v>
      </c>
      <c r="D217" s="1">
        <v>291.8</v>
      </c>
      <c r="E217" s="2">
        <v>743.06</v>
      </c>
      <c r="F217" s="2">
        <f>D217*E217</f>
      </c>
      <c r="G217" s="2">
        <f>F217*0.16</f>
      </c>
      <c r="H217" s="2">
        <f>F217+G217</f>
      </c>
    </row>
    <row r="218" spans="1:8" x14ac:dyDescent="0.25">
      <c r="A218" t="s">
        <v>433</v>
      </c>
      <c r="B218" t="s">
        <v>434</v>
      </c>
      <c r="C218" t="s">
        <v>34</v>
      </c>
      <c r="D218" s="1">
        <v>168.48</v>
      </c>
      <c r="E218" s="2">
        <v>1443.05</v>
      </c>
      <c r="F218" s="2">
        <f>D218*E218</f>
      </c>
      <c r="G218" s="2">
        <f>F218*0.16</f>
      </c>
      <c r="H218" s="2">
        <f>F218+G218</f>
      </c>
    </row>
    <row r="219" spans="1:8" x14ac:dyDescent="0.25">
      <c r="A219" t="s">
        <v>435</v>
      </c>
      <c r="B219" t="s">
        <v>436</v>
      </c>
      <c r="C219" t="s">
        <v>18</v>
      </c>
      <c r="D219" s="1">
        <v>220.16</v>
      </c>
      <c r="E219" s="2">
        <v>1289.05</v>
      </c>
      <c r="F219" s="2">
        <f>D219*E219</f>
      </c>
      <c r="G219" s="2">
        <f>F219*0.16</f>
      </c>
      <c r="H219" s="2">
        <f>F219+G219</f>
      </c>
    </row>
    <row r="220" spans="1:8" x14ac:dyDescent="0.25">
      <c r="A220" t="s">
        <v>437</v>
      </c>
      <c r="B220" t="s">
        <v>438</v>
      </c>
      <c r="C220" t="s">
        <v>41</v>
      </c>
      <c r="D220" s="1">
        <v>22.48</v>
      </c>
      <c r="E220" s="2">
        <v>1294.7</v>
      </c>
      <c r="F220" s="2">
        <f>D220*E220</f>
      </c>
      <c r="G220" s="2">
        <f>F220*0.16</f>
      </c>
      <c r="H220" s="2">
        <f>F220+G220</f>
      </c>
    </row>
    <row r="221" spans="1:8" x14ac:dyDescent="0.25">
      <c r="A221" t="s">
        <v>439</v>
      </c>
      <c r="B221" t="s">
        <v>440</v>
      </c>
      <c r="C221" t="s">
        <v>12</v>
      </c>
      <c r="D221" s="1">
        <v>208.74</v>
      </c>
      <c r="E221" s="2">
        <v>4677.82</v>
      </c>
      <c r="F221" s="2">
        <f>D221*E221</f>
      </c>
      <c r="G221" s="2">
        <f>F221*0.16</f>
      </c>
      <c r="H221" s="2">
        <f>F221+G221</f>
      </c>
    </row>
    <row r="222" spans="1:8" x14ac:dyDescent="0.25">
      <c r="A222" t="s">
        <v>441</v>
      </c>
      <c r="B222" t="s">
        <v>442</v>
      </c>
      <c r="C222" t="s">
        <v>18</v>
      </c>
      <c r="D222" s="1">
        <v>294.82</v>
      </c>
      <c r="E222" s="2">
        <v>499.83</v>
      </c>
      <c r="F222" s="2">
        <f>D222*E222</f>
      </c>
      <c r="G222" s="2">
        <f>F222*0.16</f>
      </c>
      <c r="H222" s="2">
        <f>F222+G222</f>
      </c>
    </row>
    <row r="223" spans="1:8" x14ac:dyDescent="0.25">
      <c r="A223" t="s">
        <v>443</v>
      </c>
      <c r="B223" t="s">
        <v>444</v>
      </c>
      <c r="C223" t="s">
        <v>34</v>
      </c>
      <c r="D223" s="1">
        <v>487.87</v>
      </c>
      <c r="E223" s="2">
        <v>1661.73</v>
      </c>
      <c r="F223" s="2">
        <f>D223*E223</f>
      </c>
      <c r="G223" s="2">
        <f>F223*0.16</f>
      </c>
      <c r="H223" s="2">
        <f>F223+G223</f>
      </c>
    </row>
    <row r="224" spans="1:8" x14ac:dyDescent="0.25">
      <c r="A224" t="s">
        <v>445</v>
      </c>
      <c r="B224" t="s">
        <v>446</v>
      </c>
      <c r="C224" t="s">
        <v>23</v>
      </c>
      <c r="D224" s="1">
        <v>390.4</v>
      </c>
      <c r="E224" s="2">
        <v>715.69</v>
      </c>
      <c r="F224" s="2">
        <f>D224*E224</f>
      </c>
      <c r="G224" s="2">
        <f>F224*0.16</f>
      </c>
      <c r="H224" s="2">
        <f>F224+G224</f>
      </c>
    </row>
    <row r="225" spans="1:8" x14ac:dyDescent="0.25">
      <c r="A225" t="s">
        <v>447</v>
      </c>
      <c r="B225" t="s">
        <v>448</v>
      </c>
      <c r="C225" t="s">
        <v>23</v>
      </c>
      <c r="D225" s="1">
        <v>135.82</v>
      </c>
      <c r="E225" s="2">
        <v>1891.61</v>
      </c>
      <c r="F225" s="2">
        <f>D225*E225</f>
      </c>
      <c r="G225" s="2">
        <f>F225*0.16</f>
      </c>
      <c r="H225" s="2">
        <f>F225+G225</f>
      </c>
    </row>
    <row r="226" spans="1:8" x14ac:dyDescent="0.25">
      <c r="A226" t="s">
        <v>449</v>
      </c>
      <c r="B226" t="s">
        <v>450</v>
      </c>
      <c r="C226" t="s">
        <v>23</v>
      </c>
      <c r="D226" s="1">
        <v>431.63</v>
      </c>
      <c r="E226" s="2">
        <v>3908.45</v>
      </c>
      <c r="F226" s="2">
        <f>D226*E226</f>
      </c>
      <c r="G226" s="2">
        <f>F226*0.16</f>
      </c>
      <c r="H226" s="2">
        <f>F226+G226</f>
      </c>
    </row>
    <row r="227" spans="1:8" x14ac:dyDescent="0.25">
      <c r="A227" t="s">
        <v>451</v>
      </c>
      <c r="B227" t="s">
        <v>452</v>
      </c>
      <c r="C227" t="s">
        <v>15</v>
      </c>
      <c r="D227" s="1">
        <v>441.71</v>
      </c>
      <c r="E227" s="2">
        <v>1721.45</v>
      </c>
      <c r="F227" s="2">
        <f>D227*E227</f>
      </c>
      <c r="G227" s="2">
        <f>F227*0.16</f>
      </c>
      <c r="H227" s="2">
        <f>F227+G227</f>
      </c>
    </row>
    <row r="228" spans="1:8" x14ac:dyDescent="0.25">
      <c r="A228" t="s">
        <v>453</v>
      </c>
      <c r="B228" t="s">
        <v>454</v>
      </c>
      <c r="C228" t="s">
        <v>18</v>
      </c>
      <c r="D228" s="1">
        <v>147.92</v>
      </c>
      <c r="E228" s="2">
        <v>4165.03</v>
      </c>
      <c r="F228" s="2">
        <f>D228*E228</f>
      </c>
      <c r="G228" s="2">
        <f>F228*0.16</f>
      </c>
      <c r="H228" s="2">
        <f>F228+G228</f>
      </c>
    </row>
    <row r="229" spans="1:8" x14ac:dyDescent="0.25">
      <c r="A229" t="s">
        <v>455</v>
      </c>
      <c r="B229" t="s">
        <v>456</v>
      </c>
      <c r="C229" t="s">
        <v>12</v>
      </c>
      <c r="D229" s="1">
        <v>221.53</v>
      </c>
      <c r="E229" s="2">
        <v>905.1</v>
      </c>
      <c r="F229" s="2">
        <f>D229*E229</f>
      </c>
      <c r="G229" s="2">
        <f>F229*0.16</f>
      </c>
      <c r="H229" s="2">
        <f>F229+G229</f>
      </c>
    </row>
    <row r="230" spans="1:8" x14ac:dyDescent="0.25">
      <c r="A230" t="s">
        <v>457</v>
      </c>
      <c r="B230" t="s">
        <v>458</v>
      </c>
      <c r="C230" t="s">
        <v>12</v>
      </c>
      <c r="D230" s="1">
        <v>121.46</v>
      </c>
      <c r="E230" s="2">
        <v>1080.24</v>
      </c>
      <c r="F230" s="2">
        <f>D230*E230</f>
      </c>
      <c r="G230" s="2">
        <f>F230*0.16</f>
      </c>
      <c r="H230" s="2">
        <f>F230+G230</f>
      </c>
    </row>
    <row r="231" spans="1:8" s="8" customFormat="1" x14ac:dyDescent="0.25">
      <c r="A231" s="8" t="s">
        <v>46</v>
      </c>
      <c r="B231" s="8" t="s">
        <v>459</v>
      </c>
      <c r="C231" s="8" t="s">
        <v>46</v>
      </c>
      <c r="D231" s="9" t="s">
        <v>46</v>
      </c>
      <c r="E231" s="10" t="s">
        <v>46</v>
      </c>
      <c r="F231" s="10">
        <f>SUM(F186:F230)</f>
      </c>
      <c r="G231" s="10">
        <f>SUM(G186:G230)</f>
      </c>
      <c r="H231" s="10">
        <f>SUM(H186:H230)</f>
      </c>
    </row>
    <row r="232" spans="1:8" x14ac:dyDescent="0.25">
      <c r="A232" s="7" t="s">
        <v>460</v>
      </c>
      <c r="B232" s="7"/>
      <c r="C232" s="7"/>
      <c r="D232" s="7"/>
      <c r="E232" s="7"/>
      <c r="F232" s="7"/>
      <c r="G232" s="7"/>
      <c r="H232" s="7"/>
    </row>
    <row r="233" spans="1:8" x14ac:dyDescent="0.25">
      <c r="A233" t="s">
        <v>461</v>
      </c>
      <c r="B233" t="s">
        <v>462</v>
      </c>
      <c r="C233" t="s">
        <v>15</v>
      </c>
      <c r="D233" s="1">
        <v>309</v>
      </c>
      <c r="E233" s="2">
        <v>3293.39</v>
      </c>
      <c r="F233" s="2">
        <f>D233*E233</f>
      </c>
      <c r="G233" s="2">
        <f>F233*0.16</f>
      </c>
      <c r="H233" s="2">
        <f>F233+G233</f>
      </c>
    </row>
    <row r="234" spans="1:8" x14ac:dyDescent="0.25">
      <c r="A234" t="s">
        <v>463</v>
      </c>
      <c r="B234" t="s">
        <v>464</v>
      </c>
      <c r="C234" t="s">
        <v>18</v>
      </c>
      <c r="D234" s="1">
        <v>303.37</v>
      </c>
      <c r="E234" s="2">
        <v>1739.63</v>
      </c>
      <c r="F234" s="2">
        <f>D234*E234</f>
      </c>
      <c r="G234" s="2">
        <f>F234*0.16</f>
      </c>
      <c r="H234" s="2">
        <f>F234+G234</f>
      </c>
    </row>
    <row r="235" spans="1:8" x14ac:dyDescent="0.25">
      <c r="A235" t="s">
        <v>465</v>
      </c>
      <c r="B235" t="s">
        <v>466</v>
      </c>
      <c r="C235" t="s">
        <v>18</v>
      </c>
      <c r="D235" s="1">
        <v>344.15</v>
      </c>
      <c r="E235" s="2">
        <v>773.14</v>
      </c>
      <c r="F235" s="2">
        <f>D235*E235</f>
      </c>
      <c r="G235" s="2">
        <f>F235*0.16</f>
      </c>
      <c r="H235" s="2">
        <f>F235+G235</f>
      </c>
    </row>
    <row r="236" spans="1:8" x14ac:dyDescent="0.25">
      <c r="A236" t="s">
        <v>467</v>
      </c>
      <c r="B236" t="s">
        <v>468</v>
      </c>
      <c r="C236" t="s">
        <v>12</v>
      </c>
      <c r="D236" s="1">
        <v>432.91</v>
      </c>
      <c r="E236" s="2">
        <v>2241.55</v>
      </c>
      <c r="F236" s="2">
        <f>D236*E236</f>
      </c>
      <c r="G236" s="2">
        <f>F236*0.16</f>
      </c>
      <c r="H236" s="2">
        <f>F236+G236</f>
      </c>
    </row>
    <row r="237" spans="1:8" x14ac:dyDescent="0.25">
      <c r="A237" t="s">
        <v>469</v>
      </c>
      <c r="B237" t="s">
        <v>470</v>
      </c>
      <c r="C237" t="s">
        <v>41</v>
      </c>
      <c r="D237" s="1">
        <v>397.12</v>
      </c>
      <c r="E237" s="2">
        <v>2143.98</v>
      </c>
      <c r="F237" s="2">
        <f>D237*E237</f>
      </c>
      <c r="G237" s="2">
        <f>F237*0.16</f>
      </c>
      <c r="H237" s="2">
        <f>F237+G237</f>
      </c>
    </row>
    <row r="238" spans="1:8" x14ac:dyDescent="0.25">
      <c r="A238" t="s">
        <v>471</v>
      </c>
      <c r="B238" t="s">
        <v>472</v>
      </c>
      <c r="C238" t="s">
        <v>12</v>
      </c>
      <c r="D238" s="1">
        <v>114.05</v>
      </c>
      <c r="E238" s="2">
        <v>1996.24</v>
      </c>
      <c r="F238" s="2">
        <f>D238*E238</f>
      </c>
      <c r="G238" s="2">
        <f>F238*0.16</f>
      </c>
      <c r="H238" s="2">
        <f>F238+G238</f>
      </c>
    </row>
    <row r="239" spans="1:8" x14ac:dyDescent="0.25">
      <c r="A239" t="s">
        <v>473</v>
      </c>
      <c r="B239" t="s">
        <v>474</v>
      </c>
      <c r="C239" t="s">
        <v>12</v>
      </c>
      <c r="D239" s="1">
        <v>69.53</v>
      </c>
      <c r="E239" s="2">
        <v>2658.05</v>
      </c>
      <c r="F239" s="2">
        <f>D239*E239</f>
      </c>
      <c r="G239" s="2">
        <f>F239*0.16</f>
      </c>
      <c r="H239" s="2">
        <f>F239+G239</f>
      </c>
    </row>
    <row r="240" spans="1:8" x14ac:dyDescent="0.25">
      <c r="A240" t="s">
        <v>475</v>
      </c>
      <c r="B240" t="s">
        <v>476</v>
      </c>
      <c r="C240" t="s">
        <v>18</v>
      </c>
      <c r="D240" s="1">
        <v>423.23</v>
      </c>
      <c r="E240" s="2">
        <v>2387.04</v>
      </c>
      <c r="F240" s="2">
        <f>D240*E240</f>
      </c>
      <c r="G240" s="2">
        <f>F240*0.16</f>
      </c>
      <c r="H240" s="2">
        <f>F240+G240</f>
      </c>
    </row>
    <row r="241" spans="1:8" x14ac:dyDescent="0.25">
      <c r="A241" t="s">
        <v>477</v>
      </c>
      <c r="B241" t="s">
        <v>478</v>
      </c>
      <c r="C241" t="s">
        <v>23</v>
      </c>
      <c r="D241" s="1">
        <v>280.3</v>
      </c>
      <c r="E241" s="2">
        <v>4861.12</v>
      </c>
      <c r="F241" s="2">
        <f>D241*E241</f>
      </c>
      <c r="G241" s="2">
        <f>F241*0.16</f>
      </c>
      <c r="H241" s="2">
        <f>F241+G241</f>
      </c>
    </row>
    <row r="242" spans="1:8" x14ac:dyDescent="0.25">
      <c r="A242" t="s">
        <v>479</v>
      </c>
      <c r="B242" t="s">
        <v>480</v>
      </c>
      <c r="C242" t="s">
        <v>34</v>
      </c>
      <c r="D242" s="1">
        <v>95.51</v>
      </c>
      <c r="E242" s="2">
        <v>1361</v>
      </c>
      <c r="F242" s="2">
        <f>D242*E242</f>
      </c>
      <c r="G242" s="2">
        <f>F242*0.16</f>
      </c>
      <c r="H242" s="2">
        <f>F242+G242</f>
      </c>
    </row>
    <row r="243" spans="1:8" x14ac:dyDescent="0.25">
      <c r="A243" t="s">
        <v>481</v>
      </c>
      <c r="B243" t="s">
        <v>482</v>
      </c>
      <c r="C243" t="s">
        <v>23</v>
      </c>
      <c r="D243" s="1">
        <v>371.46</v>
      </c>
      <c r="E243" s="2">
        <v>3020.27</v>
      </c>
      <c r="F243" s="2">
        <f>D243*E243</f>
      </c>
      <c r="G243" s="2">
        <f>F243*0.16</f>
      </c>
      <c r="H243" s="2">
        <f>F243+G243</f>
      </c>
    </row>
    <row r="244" spans="1:8" x14ac:dyDescent="0.25">
      <c r="A244" t="s">
        <v>483</v>
      </c>
      <c r="B244" t="s">
        <v>484</v>
      </c>
      <c r="C244" t="s">
        <v>18</v>
      </c>
      <c r="D244" s="1">
        <v>88.06</v>
      </c>
      <c r="E244" s="2">
        <v>1585.97</v>
      </c>
      <c r="F244" s="2">
        <f>D244*E244</f>
      </c>
      <c r="G244" s="2">
        <f>F244*0.16</f>
      </c>
      <c r="H244" s="2">
        <f>F244+G244</f>
      </c>
    </row>
    <row r="245" spans="1:8" x14ac:dyDescent="0.25">
      <c r="A245" t="s">
        <v>485</v>
      </c>
      <c r="B245" t="s">
        <v>486</v>
      </c>
      <c r="C245" t="s">
        <v>12</v>
      </c>
      <c r="D245" s="1">
        <v>432.67</v>
      </c>
      <c r="E245" s="2">
        <v>4635.44</v>
      </c>
      <c r="F245" s="2">
        <f>D245*E245</f>
      </c>
      <c r="G245" s="2">
        <f>F245*0.16</f>
      </c>
      <c r="H245" s="2">
        <f>F245+G245</f>
      </c>
    </row>
    <row r="246" spans="1:8" x14ac:dyDescent="0.25">
      <c r="A246" t="s">
        <v>487</v>
      </c>
      <c r="B246" t="s">
        <v>488</v>
      </c>
      <c r="C246" t="s">
        <v>41</v>
      </c>
      <c r="D246" s="1">
        <v>87.95</v>
      </c>
      <c r="E246" s="2">
        <v>2087.66</v>
      </c>
      <c r="F246" s="2">
        <f>D246*E246</f>
      </c>
      <c r="G246" s="2">
        <f>F246*0.16</f>
      </c>
      <c r="H246" s="2">
        <f>F246+G246</f>
      </c>
    </row>
    <row r="247" spans="1:8" x14ac:dyDescent="0.25">
      <c r="A247" t="s">
        <v>489</v>
      </c>
      <c r="B247" t="s">
        <v>490</v>
      </c>
      <c r="C247" t="s">
        <v>34</v>
      </c>
      <c r="D247" s="1">
        <v>301.52</v>
      </c>
      <c r="E247" s="2">
        <v>3415.53</v>
      </c>
      <c r="F247" s="2">
        <f>D247*E247</f>
      </c>
      <c r="G247" s="2">
        <f>F247*0.16</f>
      </c>
      <c r="H247" s="2">
        <f>F247+G247</f>
      </c>
    </row>
    <row r="248" spans="1:8" x14ac:dyDescent="0.25">
      <c r="A248" t="s">
        <v>491</v>
      </c>
      <c r="B248" t="s">
        <v>492</v>
      </c>
      <c r="C248" t="s">
        <v>12</v>
      </c>
      <c r="D248" s="1">
        <v>374.91</v>
      </c>
      <c r="E248" s="2">
        <v>4541.46</v>
      </c>
      <c r="F248" s="2">
        <f>D248*E248</f>
      </c>
      <c r="G248" s="2">
        <f>F248*0.16</f>
      </c>
      <c r="H248" s="2">
        <f>F248+G248</f>
      </c>
    </row>
    <row r="249" spans="1:8" x14ac:dyDescent="0.25">
      <c r="A249" t="s">
        <v>493</v>
      </c>
      <c r="B249" t="s">
        <v>494</v>
      </c>
      <c r="C249" t="s">
        <v>18</v>
      </c>
      <c r="D249" s="1">
        <v>31.59</v>
      </c>
      <c r="E249" s="2">
        <v>1564.39</v>
      </c>
      <c r="F249" s="2">
        <f>D249*E249</f>
      </c>
      <c r="G249" s="2">
        <f>F249*0.16</f>
      </c>
      <c r="H249" s="2">
        <f>F249+G249</f>
      </c>
    </row>
    <row r="250" spans="1:8" x14ac:dyDescent="0.25">
      <c r="A250" t="s">
        <v>495</v>
      </c>
      <c r="B250" t="s">
        <v>496</v>
      </c>
      <c r="C250" t="s">
        <v>15</v>
      </c>
      <c r="D250" s="1">
        <v>179.47</v>
      </c>
      <c r="E250" s="2">
        <v>4113.05</v>
      </c>
      <c r="F250" s="2">
        <f>D250*E250</f>
      </c>
      <c r="G250" s="2">
        <f>F250*0.16</f>
      </c>
      <c r="H250" s="2">
        <f>F250+G250</f>
      </c>
    </row>
    <row r="251" spans="1:8" x14ac:dyDescent="0.25">
      <c r="A251" t="s">
        <v>497</v>
      </c>
      <c r="B251" t="s">
        <v>498</v>
      </c>
      <c r="C251" t="s">
        <v>18</v>
      </c>
      <c r="D251" s="1">
        <v>484.12</v>
      </c>
      <c r="E251" s="2">
        <v>3609.09</v>
      </c>
      <c r="F251" s="2">
        <f>D251*E251</f>
      </c>
      <c r="G251" s="2">
        <f>F251*0.16</f>
      </c>
      <c r="H251" s="2">
        <f>F251+G251</f>
      </c>
    </row>
    <row r="252" spans="1:8" x14ac:dyDescent="0.25">
      <c r="A252" t="s">
        <v>499</v>
      </c>
      <c r="B252" t="s">
        <v>500</v>
      </c>
      <c r="C252" t="s">
        <v>15</v>
      </c>
      <c r="D252" s="1">
        <v>195.14</v>
      </c>
      <c r="E252" s="2">
        <v>1971.08</v>
      </c>
      <c r="F252" s="2">
        <f>D252*E252</f>
      </c>
      <c r="G252" s="2">
        <f>F252*0.16</f>
      </c>
      <c r="H252" s="2">
        <f>F252+G252</f>
      </c>
    </row>
    <row r="253" spans="1:8" x14ac:dyDescent="0.25">
      <c r="A253" t="s">
        <v>501</v>
      </c>
      <c r="B253" t="s">
        <v>502</v>
      </c>
      <c r="C253" t="s">
        <v>15</v>
      </c>
      <c r="D253" s="1">
        <v>215.07</v>
      </c>
      <c r="E253" s="2">
        <v>2392.25</v>
      </c>
      <c r="F253" s="2">
        <f>D253*E253</f>
      </c>
      <c r="G253" s="2">
        <f>F253*0.16</f>
      </c>
      <c r="H253" s="2">
        <f>F253+G253</f>
      </c>
    </row>
    <row r="254" spans="1:8" x14ac:dyDescent="0.25">
      <c r="A254" t="s">
        <v>503</v>
      </c>
      <c r="B254" t="s">
        <v>504</v>
      </c>
      <c r="C254" t="s">
        <v>41</v>
      </c>
      <c r="D254" s="1">
        <v>211</v>
      </c>
      <c r="E254" s="2">
        <v>1076.51</v>
      </c>
      <c r="F254" s="2">
        <f>D254*E254</f>
      </c>
      <c r="G254" s="2">
        <f>F254*0.16</f>
      </c>
      <c r="H254" s="2">
        <f>F254+G254</f>
      </c>
    </row>
    <row r="255" spans="1:8" x14ac:dyDescent="0.25">
      <c r="A255" t="s">
        <v>505</v>
      </c>
      <c r="B255" t="s">
        <v>506</v>
      </c>
      <c r="C255" t="s">
        <v>15</v>
      </c>
      <c r="D255" s="1">
        <v>288.15</v>
      </c>
      <c r="E255" s="2">
        <v>1564.72</v>
      </c>
      <c r="F255" s="2">
        <f>D255*E255</f>
      </c>
      <c r="G255" s="2">
        <f>F255*0.16</f>
      </c>
      <c r="H255" s="2">
        <f>F255+G255</f>
      </c>
    </row>
    <row r="256" spans="1:8" x14ac:dyDescent="0.25">
      <c r="A256" t="s">
        <v>507</v>
      </c>
      <c r="B256" t="s">
        <v>508</v>
      </c>
      <c r="C256" t="s">
        <v>12</v>
      </c>
      <c r="D256" s="1">
        <v>79.07</v>
      </c>
      <c r="E256" s="2">
        <v>4755.37</v>
      </c>
      <c r="F256" s="2">
        <f>D256*E256</f>
      </c>
      <c r="G256" s="2">
        <f>F256*0.16</f>
      </c>
      <c r="H256" s="2">
        <f>F256+G256</f>
      </c>
    </row>
    <row r="257" spans="1:8" x14ac:dyDescent="0.25">
      <c r="A257" t="s">
        <v>509</v>
      </c>
      <c r="B257" t="s">
        <v>510</v>
      </c>
      <c r="C257" t="s">
        <v>12</v>
      </c>
      <c r="D257" s="1">
        <v>72.24</v>
      </c>
      <c r="E257" s="2">
        <v>3898.04</v>
      </c>
      <c r="F257" s="2">
        <f>D257*E257</f>
      </c>
      <c r="G257" s="2">
        <f>F257*0.16</f>
      </c>
      <c r="H257" s="2">
        <f>F257+G257</f>
      </c>
    </row>
    <row r="258" spans="1:8" x14ac:dyDescent="0.25">
      <c r="A258" t="s">
        <v>511</v>
      </c>
      <c r="B258" t="s">
        <v>512</v>
      </c>
      <c r="C258" t="s">
        <v>23</v>
      </c>
      <c r="D258" s="1">
        <v>432.51</v>
      </c>
      <c r="E258" s="2">
        <v>1417.33</v>
      </c>
      <c r="F258" s="2">
        <f>D258*E258</f>
      </c>
      <c r="G258" s="2">
        <f>F258*0.16</f>
      </c>
      <c r="H258" s="2">
        <f>F258+G258</f>
      </c>
    </row>
    <row r="259" spans="1:8" x14ac:dyDescent="0.25">
      <c r="A259" t="s">
        <v>513</v>
      </c>
      <c r="B259" t="s">
        <v>514</v>
      </c>
      <c r="C259" t="s">
        <v>12</v>
      </c>
      <c r="D259" s="1">
        <v>113.86</v>
      </c>
      <c r="E259" s="2">
        <v>1090.38</v>
      </c>
      <c r="F259" s="2">
        <f>D259*E259</f>
      </c>
      <c r="G259" s="2">
        <f>F259*0.16</f>
      </c>
      <c r="H259" s="2">
        <f>F259+G259</f>
      </c>
    </row>
    <row r="260" spans="1:8" x14ac:dyDescent="0.25">
      <c r="A260" t="s">
        <v>515</v>
      </c>
      <c r="B260" t="s">
        <v>516</v>
      </c>
      <c r="C260" t="s">
        <v>18</v>
      </c>
      <c r="D260" s="1">
        <v>381.38</v>
      </c>
      <c r="E260" s="2">
        <v>4381.85</v>
      </c>
      <c r="F260" s="2">
        <f>D260*E260</f>
      </c>
      <c r="G260" s="2">
        <f>F260*0.16</f>
      </c>
      <c r="H260" s="2">
        <f>F260+G260</f>
      </c>
    </row>
    <row r="261" spans="1:8" x14ac:dyDescent="0.25">
      <c r="A261" t="s">
        <v>517</v>
      </c>
      <c r="B261" t="s">
        <v>518</v>
      </c>
      <c r="C261" t="s">
        <v>18</v>
      </c>
      <c r="D261" s="1">
        <v>297.25</v>
      </c>
      <c r="E261" s="2">
        <v>315.43</v>
      </c>
      <c r="F261" s="2">
        <f>D261*E261</f>
      </c>
      <c r="G261" s="2">
        <f>F261*0.16</f>
      </c>
      <c r="H261" s="2">
        <f>F261+G261</f>
      </c>
    </row>
    <row r="262" spans="1:8" x14ac:dyDescent="0.25">
      <c r="A262" t="s">
        <v>519</v>
      </c>
      <c r="B262" t="s">
        <v>520</v>
      </c>
      <c r="C262" t="s">
        <v>34</v>
      </c>
      <c r="D262" s="1">
        <v>245.84</v>
      </c>
      <c r="E262" s="2">
        <v>3968.04</v>
      </c>
      <c r="F262" s="2">
        <f>D262*E262</f>
      </c>
      <c r="G262" s="2">
        <f>F262*0.16</f>
      </c>
      <c r="H262" s="2">
        <f>F262+G262</f>
      </c>
    </row>
    <row r="263" spans="1:8" x14ac:dyDescent="0.25">
      <c r="A263" t="s">
        <v>521</v>
      </c>
      <c r="B263" t="s">
        <v>522</v>
      </c>
      <c r="C263" t="s">
        <v>12</v>
      </c>
      <c r="D263" s="1">
        <v>161.57</v>
      </c>
      <c r="E263" s="2">
        <v>4511.57</v>
      </c>
      <c r="F263" s="2">
        <f>D263*E263</f>
      </c>
      <c r="G263" s="2">
        <f>F263*0.16</f>
      </c>
      <c r="H263" s="2">
        <f>F263+G263</f>
      </c>
    </row>
    <row r="264" spans="1:8" x14ac:dyDescent="0.25">
      <c r="A264" t="s">
        <v>523</v>
      </c>
      <c r="B264" t="s">
        <v>524</v>
      </c>
      <c r="C264" t="s">
        <v>34</v>
      </c>
      <c r="D264" s="1">
        <v>392.51</v>
      </c>
      <c r="E264" s="2">
        <v>3061.05</v>
      </c>
      <c r="F264" s="2">
        <f>D264*E264</f>
      </c>
      <c r="G264" s="2">
        <f>F264*0.16</f>
      </c>
      <c r="H264" s="2">
        <f>F264+G264</f>
      </c>
    </row>
    <row r="265" spans="1:8" x14ac:dyDescent="0.25">
      <c r="A265" t="s">
        <v>525</v>
      </c>
      <c r="B265" t="s">
        <v>526</v>
      </c>
      <c r="C265" t="s">
        <v>34</v>
      </c>
      <c r="D265" s="1">
        <v>65.64</v>
      </c>
      <c r="E265" s="2">
        <v>1701.28</v>
      </c>
      <c r="F265" s="2">
        <f>D265*E265</f>
      </c>
      <c r="G265" s="2">
        <f>F265*0.16</f>
      </c>
      <c r="H265" s="2">
        <f>F265+G265</f>
      </c>
    </row>
    <row r="266" spans="1:8" x14ac:dyDescent="0.25">
      <c r="A266" t="s">
        <v>527</v>
      </c>
      <c r="B266" t="s">
        <v>528</v>
      </c>
      <c r="C266" t="s">
        <v>12</v>
      </c>
      <c r="D266" s="1">
        <v>26.01</v>
      </c>
      <c r="E266" s="2">
        <v>1963.1</v>
      </c>
      <c r="F266" s="2">
        <f>D266*E266</f>
      </c>
      <c r="G266" s="2">
        <f>F266*0.16</f>
      </c>
      <c r="H266" s="2">
        <f>F266+G266</f>
      </c>
    </row>
    <row r="267" spans="1:8" x14ac:dyDescent="0.25">
      <c r="A267" t="s">
        <v>529</v>
      </c>
      <c r="B267" t="s">
        <v>530</v>
      </c>
      <c r="C267" t="s">
        <v>12</v>
      </c>
      <c r="D267" s="1">
        <v>161.55</v>
      </c>
      <c r="E267" s="2">
        <v>1535.7</v>
      </c>
      <c r="F267" s="2">
        <f>D267*E267</f>
      </c>
      <c r="G267" s="2">
        <f>F267*0.16</f>
      </c>
      <c r="H267" s="2">
        <f>F267+G267</f>
      </c>
    </row>
    <row r="268" spans="1:8" x14ac:dyDescent="0.25">
      <c r="A268" t="s">
        <v>531</v>
      </c>
      <c r="B268" t="s">
        <v>532</v>
      </c>
      <c r="C268" t="s">
        <v>18</v>
      </c>
      <c r="D268" s="1">
        <v>497.02</v>
      </c>
      <c r="E268" s="2">
        <v>334.44</v>
      </c>
      <c r="F268" s="2">
        <f>D268*E268</f>
      </c>
      <c r="G268" s="2">
        <f>F268*0.16</f>
      </c>
      <c r="H268" s="2">
        <f>F268+G268</f>
      </c>
    </row>
    <row r="269" spans="1:8" x14ac:dyDescent="0.25">
      <c r="A269" t="s">
        <v>533</v>
      </c>
      <c r="B269" t="s">
        <v>534</v>
      </c>
      <c r="C269" t="s">
        <v>12</v>
      </c>
      <c r="D269" s="1">
        <v>325.23</v>
      </c>
      <c r="E269" s="2">
        <v>3924.99</v>
      </c>
      <c r="F269" s="2">
        <f>D269*E269</f>
      </c>
      <c r="G269" s="2">
        <f>F269*0.16</f>
      </c>
      <c r="H269" s="2">
        <f>F269+G269</f>
      </c>
    </row>
    <row r="270" spans="1:8" x14ac:dyDescent="0.25">
      <c r="A270" t="s">
        <v>535</v>
      </c>
      <c r="B270" t="s">
        <v>536</v>
      </c>
      <c r="C270" t="s">
        <v>23</v>
      </c>
      <c r="D270" s="1">
        <v>104.6</v>
      </c>
      <c r="E270" s="2">
        <v>2285.06</v>
      </c>
      <c r="F270" s="2">
        <f>D270*E270</f>
      </c>
      <c r="G270" s="2">
        <f>F270*0.16</f>
      </c>
      <c r="H270" s="2">
        <f>F270+G270</f>
      </c>
    </row>
    <row r="271" spans="1:8" x14ac:dyDescent="0.25">
      <c r="A271" t="s">
        <v>537</v>
      </c>
      <c r="B271" t="s">
        <v>538</v>
      </c>
      <c r="C271" t="s">
        <v>34</v>
      </c>
      <c r="D271" s="1">
        <v>33.99</v>
      </c>
      <c r="E271" s="2">
        <v>3357.8</v>
      </c>
      <c r="F271" s="2">
        <f>D271*E271</f>
      </c>
      <c r="G271" s="2">
        <f>F271*0.16</f>
      </c>
      <c r="H271" s="2">
        <f>F271+G271</f>
      </c>
    </row>
    <row r="272" spans="1:8" x14ac:dyDescent="0.25">
      <c r="A272" t="s">
        <v>539</v>
      </c>
      <c r="B272" t="s">
        <v>540</v>
      </c>
      <c r="C272" t="s">
        <v>34</v>
      </c>
      <c r="D272" s="1">
        <v>43.01</v>
      </c>
      <c r="E272" s="2">
        <v>62.01</v>
      </c>
      <c r="F272" s="2">
        <f>D272*E272</f>
      </c>
      <c r="G272" s="2">
        <f>F272*0.16</f>
      </c>
      <c r="H272" s="2">
        <f>F272+G272</f>
      </c>
    </row>
    <row r="273" spans="1:8" x14ac:dyDescent="0.25">
      <c r="A273" t="s">
        <v>541</v>
      </c>
      <c r="B273" t="s">
        <v>542</v>
      </c>
      <c r="C273" t="s">
        <v>41</v>
      </c>
      <c r="D273" s="1">
        <v>158.9</v>
      </c>
      <c r="E273" s="2">
        <v>4908.31</v>
      </c>
      <c r="F273" s="2">
        <f>D273*E273</f>
      </c>
      <c r="G273" s="2">
        <f>F273*0.16</f>
      </c>
      <c r="H273" s="2">
        <f>F273+G273</f>
      </c>
    </row>
    <row r="274" spans="1:8" x14ac:dyDescent="0.25">
      <c r="A274" t="s">
        <v>543</v>
      </c>
      <c r="B274" t="s">
        <v>544</v>
      </c>
      <c r="C274" t="s">
        <v>34</v>
      </c>
      <c r="D274" s="1">
        <v>182.67</v>
      </c>
      <c r="E274" s="2">
        <v>4278.91</v>
      </c>
      <c r="F274" s="2">
        <f>D274*E274</f>
      </c>
      <c r="G274" s="2">
        <f>F274*0.16</f>
      </c>
      <c r="H274" s="2">
        <f>F274+G274</f>
      </c>
    </row>
    <row r="275" spans="1:8" x14ac:dyDescent="0.25">
      <c r="A275" t="s">
        <v>545</v>
      </c>
      <c r="B275" t="s">
        <v>546</v>
      </c>
      <c r="C275" t="s">
        <v>41</v>
      </c>
      <c r="D275" s="1">
        <v>427.47</v>
      </c>
      <c r="E275" s="2">
        <v>1963.3</v>
      </c>
      <c r="F275" s="2">
        <f>D275*E275</f>
      </c>
      <c r="G275" s="2">
        <f>F275*0.16</f>
      </c>
      <c r="H275" s="2">
        <f>F275+G275</f>
      </c>
    </row>
    <row r="276" spans="1:8" x14ac:dyDescent="0.25">
      <c r="A276" t="s">
        <v>547</v>
      </c>
      <c r="B276" t="s">
        <v>548</v>
      </c>
      <c r="C276" t="s">
        <v>18</v>
      </c>
      <c r="D276" s="1">
        <v>264.09</v>
      </c>
      <c r="E276" s="2">
        <v>185.38</v>
      </c>
      <c r="F276" s="2">
        <f>D276*E276</f>
      </c>
      <c r="G276" s="2">
        <f>F276*0.16</f>
      </c>
      <c r="H276" s="2">
        <f>F276+G276</f>
      </c>
    </row>
    <row r="277" spans="1:8" x14ac:dyDescent="0.25">
      <c r="A277" t="s">
        <v>549</v>
      </c>
      <c r="B277" t="s">
        <v>550</v>
      </c>
      <c r="C277" t="s">
        <v>15</v>
      </c>
      <c r="D277" s="1">
        <v>184.17</v>
      </c>
      <c r="E277" s="2">
        <v>324.61</v>
      </c>
      <c r="F277" s="2">
        <f>D277*E277</f>
      </c>
      <c r="G277" s="2">
        <f>F277*0.16</f>
      </c>
      <c r="H277" s="2">
        <f>F277+G277</f>
      </c>
    </row>
    <row r="278" spans="1:8" x14ac:dyDescent="0.25">
      <c r="A278" t="s">
        <v>551</v>
      </c>
      <c r="B278" t="s">
        <v>552</v>
      </c>
      <c r="C278" t="s">
        <v>23</v>
      </c>
      <c r="D278" s="1">
        <v>70.66</v>
      </c>
      <c r="E278" s="2">
        <v>4289.99</v>
      </c>
      <c r="F278" s="2">
        <f>D278*E278</f>
      </c>
      <c r="G278" s="2">
        <f>F278*0.16</f>
      </c>
      <c r="H278" s="2">
        <f>F278+G278</f>
      </c>
    </row>
    <row r="279" spans="1:8" x14ac:dyDescent="0.25">
      <c r="A279" t="s">
        <v>553</v>
      </c>
      <c r="B279" t="s">
        <v>554</v>
      </c>
      <c r="C279" t="s">
        <v>23</v>
      </c>
      <c r="D279" s="1">
        <v>459.68</v>
      </c>
      <c r="E279" s="2">
        <v>1963.55</v>
      </c>
      <c r="F279" s="2">
        <f>D279*E279</f>
      </c>
      <c r="G279" s="2">
        <f>F279*0.16</f>
      </c>
      <c r="H279" s="2">
        <f>F279+G279</f>
      </c>
    </row>
    <row r="280" spans="1:8" x14ac:dyDescent="0.25">
      <c r="A280" t="s">
        <v>555</v>
      </c>
      <c r="B280" t="s">
        <v>556</v>
      </c>
      <c r="C280" t="s">
        <v>18</v>
      </c>
      <c r="D280" s="1">
        <v>340.01</v>
      </c>
      <c r="E280" s="2">
        <v>2915.41</v>
      </c>
      <c r="F280" s="2">
        <f>D280*E280</f>
      </c>
      <c r="G280" s="2">
        <f>F280*0.16</f>
      </c>
      <c r="H280" s="2">
        <f>F280+G280</f>
      </c>
    </row>
    <row r="281" spans="1:8" x14ac:dyDescent="0.25">
      <c r="A281" t="s">
        <v>557</v>
      </c>
      <c r="B281" t="s">
        <v>558</v>
      </c>
      <c r="C281" t="s">
        <v>18</v>
      </c>
      <c r="D281" s="1">
        <v>90.47</v>
      </c>
      <c r="E281" s="2">
        <v>3827.62</v>
      </c>
      <c r="F281" s="2">
        <f>D281*E281</f>
      </c>
      <c r="G281" s="2">
        <f>F281*0.16</f>
      </c>
      <c r="H281" s="2">
        <f>F281+G281</f>
      </c>
    </row>
    <row r="282" spans="1:8" x14ac:dyDescent="0.25">
      <c r="A282" t="s">
        <v>559</v>
      </c>
      <c r="B282" t="s">
        <v>560</v>
      </c>
      <c r="C282" t="s">
        <v>34</v>
      </c>
      <c r="D282" s="1">
        <v>489.49</v>
      </c>
      <c r="E282" s="2">
        <v>44.95</v>
      </c>
      <c r="F282" s="2">
        <f>D282*E282</f>
      </c>
      <c r="G282" s="2">
        <f>F282*0.16</f>
      </c>
      <c r="H282" s="2">
        <f>F282+G282</f>
      </c>
    </row>
    <row r="283" spans="1:8" x14ac:dyDescent="0.25">
      <c r="A283" t="s">
        <v>561</v>
      </c>
      <c r="B283" t="s">
        <v>562</v>
      </c>
      <c r="C283" t="s">
        <v>18</v>
      </c>
      <c r="D283" s="1">
        <v>421.55</v>
      </c>
      <c r="E283" s="2">
        <v>4287</v>
      </c>
      <c r="F283" s="2">
        <f>D283*E283</f>
      </c>
      <c r="G283" s="2">
        <f>F283*0.16</f>
      </c>
      <c r="H283" s="2">
        <f>F283+G283</f>
      </c>
    </row>
    <row r="284" spans="1:8" x14ac:dyDescent="0.25">
      <c r="A284" t="s">
        <v>563</v>
      </c>
      <c r="B284" t="s">
        <v>564</v>
      </c>
      <c r="C284" t="s">
        <v>34</v>
      </c>
      <c r="D284" s="1">
        <v>25.75</v>
      </c>
      <c r="E284" s="2">
        <v>856.86</v>
      </c>
      <c r="F284" s="2">
        <f>D284*E284</f>
      </c>
      <c r="G284" s="2">
        <f>F284*0.16</f>
      </c>
      <c r="H284" s="2">
        <f>F284+G284</f>
      </c>
    </row>
    <row r="285" spans="1:8" x14ac:dyDescent="0.25">
      <c r="A285" t="s">
        <v>565</v>
      </c>
      <c r="B285" t="s">
        <v>566</v>
      </c>
      <c r="C285" t="s">
        <v>18</v>
      </c>
      <c r="D285" s="1">
        <v>63</v>
      </c>
      <c r="E285" s="2">
        <v>3051.19</v>
      </c>
      <c r="F285" s="2">
        <f>D285*E285</f>
      </c>
      <c r="G285" s="2">
        <f>F285*0.16</f>
      </c>
      <c r="H285" s="2">
        <f>F285+G285</f>
      </c>
    </row>
    <row r="286" spans="1:8" x14ac:dyDescent="0.25">
      <c r="A286" t="s">
        <v>567</v>
      </c>
      <c r="B286" t="s">
        <v>568</v>
      </c>
      <c r="C286" t="s">
        <v>12</v>
      </c>
      <c r="D286" s="1">
        <v>93.31</v>
      </c>
      <c r="E286" s="2">
        <v>4013.3</v>
      </c>
      <c r="F286" s="2">
        <f>D286*E286</f>
      </c>
      <c r="G286" s="2">
        <f>F286*0.16</f>
      </c>
      <c r="H286" s="2">
        <f>F286+G286</f>
      </c>
    </row>
    <row r="287" spans="1:8" x14ac:dyDescent="0.25">
      <c r="A287" t="s">
        <v>569</v>
      </c>
      <c r="B287" t="s">
        <v>570</v>
      </c>
      <c r="C287" t="s">
        <v>18</v>
      </c>
      <c r="D287" s="1">
        <v>66.01</v>
      </c>
      <c r="E287" s="2">
        <v>2649.46</v>
      </c>
      <c r="F287" s="2">
        <f>D287*E287</f>
      </c>
      <c r="G287" s="2">
        <f>F287*0.16</f>
      </c>
      <c r="H287" s="2">
        <f>F287+G287</f>
      </c>
    </row>
    <row r="288" spans="1:8" x14ac:dyDescent="0.25">
      <c r="A288" t="s">
        <v>571</v>
      </c>
      <c r="B288" t="s">
        <v>572</v>
      </c>
      <c r="C288" t="s">
        <v>34</v>
      </c>
      <c r="D288" s="1">
        <v>423.47</v>
      </c>
      <c r="E288" s="2">
        <v>3658.02</v>
      </c>
      <c r="F288" s="2">
        <f>D288*E288</f>
      </c>
      <c r="G288" s="2">
        <f>F288*0.16</f>
      </c>
      <c r="H288" s="2">
        <f>F288+G288</f>
      </c>
    </row>
    <row r="289" spans="1:8" x14ac:dyDescent="0.25">
      <c r="A289" t="s">
        <v>573</v>
      </c>
      <c r="B289" t="s">
        <v>574</v>
      </c>
      <c r="C289" t="s">
        <v>15</v>
      </c>
      <c r="D289" s="1">
        <v>173.91</v>
      </c>
      <c r="E289" s="2">
        <v>558.52</v>
      </c>
      <c r="F289" s="2">
        <f>D289*E289</f>
      </c>
      <c r="G289" s="2">
        <f>F289*0.16</f>
      </c>
      <c r="H289" s="2">
        <f>F289+G289</f>
      </c>
    </row>
    <row r="290" spans="1:8" x14ac:dyDescent="0.25">
      <c r="A290" t="s">
        <v>575</v>
      </c>
      <c r="B290" t="s">
        <v>576</v>
      </c>
      <c r="C290" t="s">
        <v>18</v>
      </c>
      <c r="D290" s="1">
        <v>218.44</v>
      </c>
      <c r="E290" s="2">
        <v>4797.04</v>
      </c>
      <c r="F290" s="2">
        <f>D290*E290</f>
      </c>
      <c r="G290" s="2">
        <f>F290*0.16</f>
      </c>
      <c r="H290" s="2">
        <f>F290+G290</f>
      </c>
    </row>
    <row r="291" spans="1:8" x14ac:dyDescent="0.25">
      <c r="A291" t="s">
        <v>577</v>
      </c>
      <c r="B291" t="s">
        <v>578</v>
      </c>
      <c r="C291" t="s">
        <v>15</v>
      </c>
      <c r="D291" s="1">
        <v>258.12</v>
      </c>
      <c r="E291" s="2">
        <v>917.99</v>
      </c>
      <c r="F291" s="2">
        <f>D291*E291</f>
      </c>
      <c r="G291" s="2">
        <f>F291*0.16</f>
      </c>
      <c r="H291" s="2">
        <f>F291+G291</f>
      </c>
    </row>
    <row r="292" spans="1:8" x14ac:dyDescent="0.25">
      <c r="A292" t="s">
        <v>579</v>
      </c>
      <c r="B292" t="s">
        <v>580</v>
      </c>
      <c r="C292" t="s">
        <v>41</v>
      </c>
      <c r="D292" s="1">
        <v>448.35</v>
      </c>
      <c r="E292" s="2">
        <v>421.84</v>
      </c>
      <c r="F292" s="2">
        <f>D292*E292</f>
      </c>
      <c r="G292" s="2">
        <f>F292*0.16</f>
      </c>
      <c r="H292" s="2">
        <f>F292+G292</f>
      </c>
    </row>
    <row r="293" spans="1:8" s="8" customFormat="1" x14ac:dyDescent="0.25">
      <c r="A293" s="8" t="s">
        <v>46</v>
      </c>
      <c r="B293" s="8" t="s">
        <v>581</v>
      </c>
      <c r="C293" s="8" t="s">
        <v>46</v>
      </c>
      <c r="D293" s="9" t="s">
        <v>46</v>
      </c>
      <c r="E293" s="10" t="s">
        <v>46</v>
      </c>
      <c r="F293" s="10">
        <f>SUM(F233:F292)</f>
      </c>
      <c r="G293" s="10">
        <f>SUM(G233:G292)</f>
      </c>
      <c r="H293" s="10">
        <f>SUM(H233:H292)</f>
      </c>
    </row>
    <row r="294" spans="1:8" x14ac:dyDescent="0.25">
      <c r="A294" s="7" t="s">
        <v>582</v>
      </c>
      <c r="B294" s="7"/>
      <c r="C294" s="7"/>
      <c r="D294" s="7"/>
      <c r="E294" s="7"/>
      <c r="F294" s="7"/>
      <c r="G294" s="7"/>
      <c r="H294" s="7"/>
    </row>
    <row r="295" spans="1:8" x14ac:dyDescent="0.25">
      <c r="A295" t="s">
        <v>583</v>
      </c>
      <c r="B295" t="s">
        <v>584</v>
      </c>
      <c r="C295" t="s">
        <v>41</v>
      </c>
      <c r="D295" s="1">
        <v>448.47</v>
      </c>
      <c r="E295" s="2">
        <v>1820.01</v>
      </c>
      <c r="F295" s="2">
        <f>D295*E295</f>
      </c>
      <c r="G295" s="2">
        <f>F295*0.16</f>
      </c>
      <c r="H295" s="2">
        <f>F295+G295</f>
      </c>
    </row>
    <row r="296" spans="1:8" x14ac:dyDescent="0.25">
      <c r="A296" t="s">
        <v>585</v>
      </c>
      <c r="B296" t="s">
        <v>586</v>
      </c>
      <c r="C296" t="s">
        <v>41</v>
      </c>
      <c r="D296" s="1">
        <v>404.99</v>
      </c>
      <c r="E296" s="2">
        <v>3246.02</v>
      </c>
      <c r="F296" s="2">
        <f>D296*E296</f>
      </c>
      <c r="G296" s="2">
        <f>F296*0.16</f>
      </c>
      <c r="H296" s="2">
        <f>F296+G296</f>
      </c>
    </row>
    <row r="297" spans="1:8" x14ac:dyDescent="0.25">
      <c r="A297" t="s">
        <v>587</v>
      </c>
      <c r="B297" t="s">
        <v>588</v>
      </c>
      <c r="C297" t="s">
        <v>15</v>
      </c>
      <c r="D297" s="1">
        <v>132.17</v>
      </c>
      <c r="E297" s="2">
        <v>3295.52</v>
      </c>
      <c r="F297" s="2">
        <f>D297*E297</f>
      </c>
      <c r="G297" s="2">
        <f>F297*0.16</f>
      </c>
      <c r="H297" s="2">
        <f>F297+G297</f>
      </c>
    </row>
    <row r="298" spans="1:8" x14ac:dyDescent="0.25">
      <c r="A298" t="s">
        <v>589</v>
      </c>
      <c r="B298" t="s">
        <v>590</v>
      </c>
      <c r="C298" t="s">
        <v>23</v>
      </c>
      <c r="D298" s="1">
        <v>493.03</v>
      </c>
      <c r="E298" s="2">
        <v>239.76</v>
      </c>
      <c r="F298" s="2">
        <f>D298*E298</f>
      </c>
      <c r="G298" s="2">
        <f>F298*0.16</f>
      </c>
      <c r="H298" s="2">
        <f>F298+G298</f>
      </c>
    </row>
    <row r="299" spans="1:8" x14ac:dyDescent="0.25">
      <c r="A299" t="s">
        <v>591</v>
      </c>
      <c r="B299" t="s">
        <v>592</v>
      </c>
      <c r="C299" t="s">
        <v>18</v>
      </c>
      <c r="D299" s="1">
        <v>107.16</v>
      </c>
      <c r="E299" s="2">
        <v>2637.9</v>
      </c>
      <c r="F299" s="2">
        <f>D299*E299</f>
      </c>
      <c r="G299" s="2">
        <f>F299*0.16</f>
      </c>
      <c r="H299" s="2">
        <f>F299+G299</f>
      </c>
    </row>
    <row r="300" spans="1:8" x14ac:dyDescent="0.25">
      <c r="A300" t="s">
        <v>593</v>
      </c>
      <c r="B300" t="s">
        <v>594</v>
      </c>
      <c r="C300" t="s">
        <v>18</v>
      </c>
      <c r="D300" s="1">
        <v>58.15</v>
      </c>
      <c r="E300" s="2">
        <v>4813.64</v>
      </c>
      <c r="F300" s="2">
        <f>D300*E300</f>
      </c>
      <c r="G300" s="2">
        <f>F300*0.16</f>
      </c>
      <c r="H300" s="2">
        <f>F300+G300</f>
      </c>
    </row>
    <row r="301" spans="1:8" x14ac:dyDescent="0.25">
      <c r="A301" t="s">
        <v>595</v>
      </c>
      <c r="B301" t="s">
        <v>596</v>
      </c>
      <c r="C301" t="s">
        <v>12</v>
      </c>
      <c r="D301" s="1">
        <v>191.83</v>
      </c>
      <c r="E301" s="2">
        <v>469.35</v>
      </c>
      <c r="F301" s="2">
        <f>D301*E301</f>
      </c>
      <c r="G301" s="2">
        <f>F301*0.16</f>
      </c>
      <c r="H301" s="2">
        <f>F301+G301</f>
      </c>
    </row>
    <row r="302" spans="1:8" x14ac:dyDescent="0.25">
      <c r="A302" t="s">
        <v>597</v>
      </c>
      <c r="B302" t="s">
        <v>598</v>
      </c>
      <c r="C302" t="s">
        <v>41</v>
      </c>
      <c r="D302" s="1">
        <v>167.7</v>
      </c>
      <c r="E302" s="2">
        <v>3430.47</v>
      </c>
      <c r="F302" s="2">
        <f>D302*E302</f>
      </c>
      <c r="G302" s="2">
        <f>F302*0.16</f>
      </c>
      <c r="H302" s="2">
        <f>F302+G302</f>
      </c>
    </row>
    <row r="303" spans="1:8" x14ac:dyDescent="0.25">
      <c r="A303" t="s">
        <v>599</v>
      </c>
      <c r="B303" t="s">
        <v>600</v>
      </c>
      <c r="C303" t="s">
        <v>34</v>
      </c>
      <c r="D303" s="1">
        <v>397.75</v>
      </c>
      <c r="E303" s="2">
        <v>262.14</v>
      </c>
      <c r="F303" s="2">
        <f>D303*E303</f>
      </c>
      <c r="G303" s="2">
        <f>F303*0.16</f>
      </c>
      <c r="H303" s="2">
        <f>F303+G303</f>
      </c>
    </row>
    <row r="304" spans="1:8" x14ac:dyDescent="0.25">
      <c r="A304" t="s">
        <v>601</v>
      </c>
      <c r="B304" t="s">
        <v>602</v>
      </c>
      <c r="C304" t="s">
        <v>18</v>
      </c>
      <c r="D304" s="1">
        <v>202.12</v>
      </c>
      <c r="E304" s="2">
        <v>1644.63</v>
      </c>
      <c r="F304" s="2">
        <f>D304*E304</f>
      </c>
      <c r="G304" s="2">
        <f>F304*0.16</f>
      </c>
      <c r="H304" s="2">
        <f>F304+G304</f>
      </c>
    </row>
    <row r="305" spans="1:8" x14ac:dyDescent="0.25">
      <c r="A305" t="s">
        <v>603</v>
      </c>
      <c r="B305" t="s">
        <v>604</v>
      </c>
      <c r="C305" t="s">
        <v>34</v>
      </c>
      <c r="D305" s="1">
        <v>278.99</v>
      </c>
      <c r="E305" s="2">
        <v>3005.91</v>
      </c>
      <c r="F305" s="2">
        <f>D305*E305</f>
      </c>
      <c r="G305" s="2">
        <f>F305*0.16</f>
      </c>
      <c r="H305" s="2">
        <f>F305+G305</f>
      </c>
    </row>
    <row r="306" spans="1:8" x14ac:dyDescent="0.25">
      <c r="A306" t="s">
        <v>605</v>
      </c>
      <c r="B306" t="s">
        <v>606</v>
      </c>
      <c r="C306" t="s">
        <v>18</v>
      </c>
      <c r="D306" s="1">
        <v>311.39</v>
      </c>
      <c r="E306" s="2">
        <v>1609.55</v>
      </c>
      <c r="F306" s="2">
        <f>D306*E306</f>
      </c>
      <c r="G306" s="2">
        <f>F306*0.16</f>
      </c>
      <c r="H306" s="2">
        <f>F306+G306</f>
      </c>
    </row>
    <row r="307" spans="1:8" x14ac:dyDescent="0.25">
      <c r="A307" t="s">
        <v>607</v>
      </c>
      <c r="B307" t="s">
        <v>608</v>
      </c>
      <c r="C307" t="s">
        <v>34</v>
      </c>
      <c r="D307" s="1">
        <v>28.3</v>
      </c>
      <c r="E307" s="2">
        <v>5.87</v>
      </c>
      <c r="F307" s="2">
        <f>D307*E307</f>
      </c>
      <c r="G307" s="2">
        <f>F307*0.16</f>
      </c>
      <c r="H307" s="2">
        <f>F307+G307</f>
      </c>
    </row>
    <row r="308" spans="1:8" x14ac:dyDescent="0.25">
      <c r="A308" t="s">
        <v>609</v>
      </c>
      <c r="B308" t="s">
        <v>610</v>
      </c>
      <c r="C308" t="s">
        <v>12</v>
      </c>
      <c r="D308" s="1">
        <v>46.8</v>
      </c>
      <c r="E308" s="2">
        <v>2512.46</v>
      </c>
      <c r="F308" s="2">
        <f>D308*E308</f>
      </c>
      <c r="G308" s="2">
        <f>F308*0.16</f>
      </c>
      <c r="H308" s="2">
        <f>F308+G308</f>
      </c>
    </row>
    <row r="309" spans="1:8" x14ac:dyDescent="0.25">
      <c r="A309" t="s">
        <v>611</v>
      </c>
      <c r="B309" t="s">
        <v>612</v>
      </c>
      <c r="C309" t="s">
        <v>15</v>
      </c>
      <c r="D309" s="1">
        <v>397</v>
      </c>
      <c r="E309" s="2">
        <v>4471.05</v>
      </c>
      <c r="F309" s="2">
        <f>D309*E309</f>
      </c>
      <c r="G309" s="2">
        <f>F309*0.16</f>
      </c>
      <c r="H309" s="2">
        <f>F309+G309</f>
      </c>
    </row>
    <row r="310" spans="1:8" x14ac:dyDescent="0.25">
      <c r="A310" t="s">
        <v>613</v>
      </c>
      <c r="B310" t="s">
        <v>614</v>
      </c>
      <c r="C310" t="s">
        <v>12</v>
      </c>
      <c r="D310" s="1">
        <v>185.81</v>
      </c>
      <c r="E310" s="2">
        <v>136.03</v>
      </c>
      <c r="F310" s="2">
        <f>D310*E310</f>
      </c>
      <c r="G310" s="2">
        <f>F310*0.16</f>
      </c>
      <c r="H310" s="2">
        <f>F310+G310</f>
      </c>
    </row>
    <row r="311" spans="1:8" x14ac:dyDescent="0.25">
      <c r="A311" t="s">
        <v>615</v>
      </c>
      <c r="B311" t="s">
        <v>616</v>
      </c>
      <c r="C311" t="s">
        <v>18</v>
      </c>
      <c r="D311" s="1">
        <v>148.49</v>
      </c>
      <c r="E311" s="2">
        <v>4084.76</v>
      </c>
      <c r="F311" s="2">
        <f>D311*E311</f>
      </c>
      <c r="G311" s="2">
        <f>F311*0.16</f>
      </c>
      <c r="H311" s="2">
        <f>F311+G311</f>
      </c>
    </row>
    <row r="312" spans="1:8" x14ac:dyDescent="0.25">
      <c r="A312" t="s">
        <v>617</v>
      </c>
      <c r="B312" t="s">
        <v>618</v>
      </c>
      <c r="C312" t="s">
        <v>41</v>
      </c>
      <c r="D312" s="1">
        <v>340.04</v>
      </c>
      <c r="E312" s="2">
        <v>4978.31</v>
      </c>
      <c r="F312" s="2">
        <f>D312*E312</f>
      </c>
      <c r="G312" s="2">
        <f>F312*0.16</f>
      </c>
      <c r="H312" s="2">
        <f>F312+G312</f>
      </c>
    </row>
    <row r="313" spans="1:8" x14ac:dyDescent="0.25">
      <c r="A313" t="s">
        <v>619</v>
      </c>
      <c r="B313" t="s">
        <v>620</v>
      </c>
      <c r="C313" t="s">
        <v>15</v>
      </c>
      <c r="D313" s="1">
        <v>484.63</v>
      </c>
      <c r="E313" s="2">
        <v>1279.25</v>
      </c>
      <c r="F313" s="2">
        <f>D313*E313</f>
      </c>
      <c r="G313" s="2">
        <f>F313*0.16</f>
      </c>
      <c r="H313" s="2">
        <f>F313+G313</f>
      </c>
    </row>
    <row r="314" spans="1:8" x14ac:dyDescent="0.25">
      <c r="A314" t="s">
        <v>621</v>
      </c>
      <c r="B314" t="s">
        <v>622</v>
      </c>
      <c r="C314" t="s">
        <v>23</v>
      </c>
      <c r="D314" s="1">
        <v>165.79</v>
      </c>
      <c r="E314" s="2">
        <v>4424.09</v>
      </c>
      <c r="F314" s="2">
        <f>D314*E314</f>
      </c>
      <c r="G314" s="2">
        <f>F314*0.16</f>
      </c>
      <c r="H314" s="2">
        <f>F314+G314</f>
      </c>
    </row>
    <row r="315" spans="1:8" s="8" customFormat="1" x14ac:dyDescent="0.25">
      <c r="A315" s="8" t="s">
        <v>46</v>
      </c>
      <c r="B315" s="8" t="s">
        <v>623</v>
      </c>
      <c r="C315" s="8" t="s">
        <v>46</v>
      </c>
      <c r="D315" s="9" t="s">
        <v>46</v>
      </c>
      <c r="E315" s="10" t="s">
        <v>46</v>
      </c>
      <c r="F315" s="10">
        <f>SUM(F295:F314)</f>
      </c>
      <c r="G315" s="10">
        <f>SUM(G295:G314)</f>
      </c>
      <c r="H315" s="10">
        <f>SUM(H295:H314)</f>
      </c>
    </row>
    <row r="316" spans="1:8" x14ac:dyDescent="0.25">
      <c r="A316" s="7" t="s">
        <v>624</v>
      </c>
      <c r="B316" s="7"/>
      <c r="C316" s="7"/>
      <c r="D316" s="7"/>
      <c r="E316" s="7"/>
      <c r="F316" s="7"/>
      <c r="G316" s="7"/>
      <c r="H316" s="7"/>
    </row>
    <row r="317" spans="1:8" x14ac:dyDescent="0.25">
      <c r="A317" t="s">
        <v>625</v>
      </c>
      <c r="B317" t="s">
        <v>626</v>
      </c>
      <c r="C317" t="s">
        <v>23</v>
      </c>
      <c r="D317" s="1">
        <v>217.35</v>
      </c>
      <c r="E317" s="2">
        <v>3899.68</v>
      </c>
      <c r="F317" s="2">
        <f>D317*E317</f>
      </c>
      <c r="G317" s="2">
        <f>F317*0.16</f>
      </c>
      <c r="H317" s="2">
        <f>F317+G317</f>
      </c>
    </row>
    <row r="318" spans="1:8" x14ac:dyDescent="0.25">
      <c r="A318" t="s">
        <v>627</v>
      </c>
      <c r="B318" t="s">
        <v>628</v>
      </c>
      <c r="C318" t="s">
        <v>34</v>
      </c>
      <c r="D318" s="1">
        <v>496.95</v>
      </c>
      <c r="E318" s="2">
        <v>1457.68</v>
      </c>
      <c r="F318" s="2">
        <f>D318*E318</f>
      </c>
      <c r="G318" s="2">
        <f>F318*0.16</f>
      </c>
      <c r="H318" s="2">
        <f>F318+G318</f>
      </c>
    </row>
    <row r="319" spans="1:8" x14ac:dyDescent="0.25">
      <c r="A319" t="s">
        <v>629</v>
      </c>
      <c r="B319" t="s">
        <v>630</v>
      </c>
      <c r="C319" t="s">
        <v>12</v>
      </c>
      <c r="D319" s="1">
        <v>284.18</v>
      </c>
      <c r="E319" s="2">
        <v>4106.17</v>
      </c>
      <c r="F319" s="2">
        <f>D319*E319</f>
      </c>
      <c r="G319" s="2">
        <f>F319*0.16</f>
      </c>
      <c r="H319" s="2">
        <f>F319+G319</f>
      </c>
    </row>
    <row r="320" spans="1:8" x14ac:dyDescent="0.25">
      <c r="A320" t="s">
        <v>631</v>
      </c>
      <c r="B320" t="s">
        <v>632</v>
      </c>
      <c r="C320" t="s">
        <v>41</v>
      </c>
      <c r="D320" s="1">
        <v>153</v>
      </c>
      <c r="E320" s="2">
        <v>4450.32</v>
      </c>
      <c r="F320" s="2">
        <f>D320*E320</f>
      </c>
      <c r="G320" s="2">
        <f>F320*0.16</f>
      </c>
      <c r="H320" s="2">
        <f>F320+G320</f>
      </c>
    </row>
    <row r="321" spans="1:8" x14ac:dyDescent="0.25">
      <c r="A321" t="s">
        <v>633</v>
      </c>
      <c r="B321" t="s">
        <v>634</v>
      </c>
      <c r="C321" t="s">
        <v>34</v>
      </c>
      <c r="D321" s="1">
        <v>313.86</v>
      </c>
      <c r="E321" s="2">
        <v>4836.32</v>
      </c>
      <c r="F321" s="2">
        <f>D321*E321</f>
      </c>
      <c r="G321" s="2">
        <f>F321*0.16</f>
      </c>
      <c r="H321" s="2">
        <f>F321+G321</f>
      </c>
    </row>
    <row r="322" spans="1:8" x14ac:dyDescent="0.25">
      <c r="A322" t="s">
        <v>635</v>
      </c>
      <c r="B322" t="s">
        <v>636</v>
      </c>
      <c r="C322" t="s">
        <v>12</v>
      </c>
      <c r="D322" s="1">
        <v>137.72</v>
      </c>
      <c r="E322" s="2">
        <v>203.82</v>
      </c>
      <c r="F322" s="2">
        <f>D322*E322</f>
      </c>
      <c r="G322" s="2">
        <f>F322*0.16</f>
      </c>
      <c r="H322" s="2">
        <f>F322+G322</f>
      </c>
    </row>
    <row r="323" spans="1:8" x14ac:dyDescent="0.25">
      <c r="A323" t="s">
        <v>637</v>
      </c>
      <c r="B323" t="s">
        <v>638</v>
      </c>
      <c r="C323" t="s">
        <v>23</v>
      </c>
      <c r="D323" s="1">
        <v>410.48</v>
      </c>
      <c r="E323" s="2">
        <v>2417.8</v>
      </c>
      <c r="F323" s="2">
        <f>D323*E323</f>
      </c>
      <c r="G323" s="2">
        <f>F323*0.16</f>
      </c>
      <c r="H323" s="2">
        <f>F323+G323</f>
      </c>
    </row>
    <row r="324" spans="1:8" x14ac:dyDescent="0.25">
      <c r="A324" t="s">
        <v>639</v>
      </c>
      <c r="B324" t="s">
        <v>640</v>
      </c>
      <c r="C324" t="s">
        <v>12</v>
      </c>
      <c r="D324" s="1">
        <v>222.78</v>
      </c>
      <c r="E324" s="2">
        <v>483.97</v>
      </c>
      <c r="F324" s="2">
        <f>D324*E324</f>
      </c>
      <c r="G324" s="2">
        <f>F324*0.16</f>
      </c>
      <c r="H324" s="2">
        <f>F324+G324</f>
      </c>
    </row>
    <row r="325" spans="1:8" x14ac:dyDescent="0.25">
      <c r="A325" t="s">
        <v>641</v>
      </c>
      <c r="B325" t="s">
        <v>642</v>
      </c>
      <c r="C325" t="s">
        <v>41</v>
      </c>
      <c r="D325" s="1">
        <v>76</v>
      </c>
      <c r="E325" s="2">
        <v>1372.15</v>
      </c>
      <c r="F325" s="2">
        <f>D325*E325</f>
      </c>
      <c r="G325" s="2">
        <f>F325*0.16</f>
      </c>
      <c r="H325" s="2">
        <f>F325+G325</f>
      </c>
    </row>
    <row r="326" spans="1:8" x14ac:dyDescent="0.25">
      <c r="A326" t="s">
        <v>643</v>
      </c>
      <c r="B326" t="s">
        <v>644</v>
      </c>
      <c r="C326" t="s">
        <v>41</v>
      </c>
      <c r="D326" s="1">
        <v>291.02</v>
      </c>
      <c r="E326" s="2">
        <v>3076.76</v>
      </c>
      <c r="F326" s="2">
        <f>D326*E326</f>
      </c>
      <c r="G326" s="2">
        <f>F326*0.16</f>
      </c>
      <c r="H326" s="2">
        <f>F326+G326</f>
      </c>
    </row>
    <row r="327" spans="1:8" x14ac:dyDescent="0.25">
      <c r="A327" t="s">
        <v>645</v>
      </c>
      <c r="B327" t="s">
        <v>646</v>
      </c>
      <c r="C327" t="s">
        <v>18</v>
      </c>
      <c r="D327" s="1">
        <v>276.62</v>
      </c>
      <c r="E327" s="2">
        <v>1514.66</v>
      </c>
      <c r="F327" s="2">
        <f>D327*E327</f>
      </c>
      <c r="G327" s="2">
        <f>F327*0.16</f>
      </c>
      <c r="H327" s="2">
        <f>F327+G327</f>
      </c>
    </row>
    <row r="328" spans="1:8" x14ac:dyDescent="0.25">
      <c r="A328" t="s">
        <v>647</v>
      </c>
      <c r="B328" t="s">
        <v>648</v>
      </c>
      <c r="C328" t="s">
        <v>18</v>
      </c>
      <c r="D328" s="1">
        <v>247.06</v>
      </c>
      <c r="E328" s="2">
        <v>1028.24</v>
      </c>
      <c r="F328" s="2">
        <f>D328*E328</f>
      </c>
      <c r="G328" s="2">
        <f>F328*0.16</f>
      </c>
      <c r="H328" s="2">
        <f>F328+G328</f>
      </c>
    </row>
    <row r="329" spans="1:8" x14ac:dyDescent="0.25">
      <c r="A329" t="s">
        <v>649</v>
      </c>
      <c r="B329" t="s">
        <v>650</v>
      </c>
      <c r="C329" t="s">
        <v>23</v>
      </c>
      <c r="D329" s="1">
        <v>21.2</v>
      </c>
      <c r="E329" s="2">
        <v>4380.03</v>
      </c>
      <c r="F329" s="2">
        <f>D329*E329</f>
      </c>
      <c r="G329" s="2">
        <f>F329*0.16</f>
      </c>
      <c r="H329" s="2">
        <f>F329+G329</f>
      </c>
    </row>
    <row r="330" spans="1:8" x14ac:dyDescent="0.25">
      <c r="A330" t="s">
        <v>651</v>
      </c>
      <c r="B330" t="s">
        <v>652</v>
      </c>
      <c r="C330" t="s">
        <v>34</v>
      </c>
      <c r="D330" s="1">
        <v>378.15</v>
      </c>
      <c r="E330" s="2">
        <v>2791.39</v>
      </c>
      <c r="F330" s="2">
        <f>D330*E330</f>
      </c>
      <c r="G330" s="2">
        <f>F330*0.16</f>
      </c>
      <c r="H330" s="2">
        <f>F330+G330</f>
      </c>
    </row>
    <row r="331" spans="1:8" x14ac:dyDescent="0.25">
      <c r="A331" t="s">
        <v>653</v>
      </c>
      <c r="B331" t="s">
        <v>654</v>
      </c>
      <c r="C331" t="s">
        <v>12</v>
      </c>
      <c r="D331" s="1">
        <v>389.21</v>
      </c>
      <c r="E331" s="2">
        <v>3716.76</v>
      </c>
      <c r="F331" s="2">
        <f>D331*E331</f>
      </c>
      <c r="G331" s="2">
        <f>F331*0.16</f>
      </c>
      <c r="H331" s="2">
        <f>F331+G331</f>
      </c>
    </row>
    <row r="332" spans="1:8" s="8" customFormat="1" x14ac:dyDescent="0.25">
      <c r="A332" s="8" t="s">
        <v>46</v>
      </c>
      <c r="B332" s="8" t="s">
        <v>655</v>
      </c>
      <c r="C332" s="8" t="s">
        <v>46</v>
      </c>
      <c r="D332" s="9" t="s">
        <v>46</v>
      </c>
      <c r="E332" s="10" t="s">
        <v>46</v>
      </c>
      <c r="F332" s="10">
        <f>SUM(F317:F331)</f>
      </c>
      <c r="G332" s="10">
        <f>SUM(G317:G331)</f>
      </c>
      <c r="H332" s="10">
        <f>SUM(H317:H331)</f>
      </c>
    </row>
    <row r="333" spans="1:8" x14ac:dyDescent="0.25">
      <c r="A333" s="7" t="s">
        <v>656</v>
      </c>
      <c r="B333" s="7"/>
      <c r="C333" s="7"/>
      <c r="D333" s="7"/>
      <c r="E333" s="7"/>
      <c r="F333" s="7"/>
      <c r="G333" s="7"/>
      <c r="H333" s="7"/>
    </row>
    <row r="334" spans="1:8" x14ac:dyDescent="0.25">
      <c r="A334" t="s">
        <v>657</v>
      </c>
      <c r="B334" t="s">
        <v>658</v>
      </c>
      <c r="C334" t="s">
        <v>41</v>
      </c>
      <c r="D334" s="1">
        <v>37.57</v>
      </c>
      <c r="E334" s="2">
        <v>4252.57</v>
      </c>
      <c r="F334" s="2">
        <f>D334*E334</f>
      </c>
      <c r="G334" s="2">
        <f>F334*0.16</f>
      </c>
      <c r="H334" s="2">
        <f>F334+G334</f>
      </c>
    </row>
    <row r="335" spans="1:8" x14ac:dyDescent="0.25">
      <c r="A335" t="s">
        <v>659</v>
      </c>
      <c r="B335" t="s">
        <v>660</v>
      </c>
      <c r="C335" t="s">
        <v>12</v>
      </c>
      <c r="D335" s="1">
        <v>128.01</v>
      </c>
      <c r="E335" s="2">
        <v>3510.65</v>
      </c>
      <c r="F335" s="2">
        <f>D335*E335</f>
      </c>
      <c r="G335" s="2">
        <f>F335*0.16</f>
      </c>
      <c r="H335" s="2">
        <f>F335+G335</f>
      </c>
    </row>
    <row r="336" spans="1:8" x14ac:dyDescent="0.25">
      <c r="A336" t="s">
        <v>661</v>
      </c>
      <c r="B336" t="s">
        <v>662</v>
      </c>
      <c r="C336" t="s">
        <v>41</v>
      </c>
      <c r="D336" s="1">
        <v>221.89</v>
      </c>
      <c r="E336" s="2">
        <v>909.78</v>
      </c>
      <c r="F336" s="2">
        <f>D336*E336</f>
      </c>
      <c r="G336" s="2">
        <f>F336*0.16</f>
      </c>
      <c r="H336" s="2">
        <f>F336+G336</f>
      </c>
    </row>
    <row r="337" spans="1:8" x14ac:dyDescent="0.25">
      <c r="A337" t="s">
        <v>663</v>
      </c>
      <c r="B337" t="s">
        <v>664</v>
      </c>
      <c r="C337" t="s">
        <v>34</v>
      </c>
      <c r="D337" s="1">
        <v>163.87</v>
      </c>
      <c r="E337" s="2">
        <v>2253.44</v>
      </c>
      <c r="F337" s="2">
        <f>D337*E337</f>
      </c>
      <c r="G337" s="2">
        <f>F337*0.16</f>
      </c>
      <c r="H337" s="2">
        <f>F337+G337</f>
      </c>
    </row>
    <row r="338" spans="1:8" x14ac:dyDescent="0.25">
      <c r="A338" t="s">
        <v>665</v>
      </c>
      <c r="B338" t="s">
        <v>666</v>
      </c>
      <c r="C338" t="s">
        <v>34</v>
      </c>
      <c r="D338" s="1">
        <v>24.43</v>
      </c>
      <c r="E338" s="2">
        <v>3553.16</v>
      </c>
      <c r="F338" s="2">
        <f>D338*E338</f>
      </c>
      <c r="G338" s="2">
        <f>F338*0.16</f>
      </c>
      <c r="H338" s="2">
        <f>F338+G338</f>
      </c>
    </row>
    <row r="339" spans="1:8" x14ac:dyDescent="0.25">
      <c r="A339" t="s">
        <v>667</v>
      </c>
      <c r="B339" t="s">
        <v>668</v>
      </c>
      <c r="C339" t="s">
        <v>12</v>
      </c>
      <c r="D339" s="1">
        <v>40.63</v>
      </c>
      <c r="E339" s="2">
        <v>2446.96</v>
      </c>
      <c r="F339" s="2">
        <f>D339*E339</f>
      </c>
      <c r="G339" s="2">
        <f>F339*0.16</f>
      </c>
      <c r="H339" s="2">
        <f>F339+G339</f>
      </c>
    </row>
    <row r="340" spans="1:8" x14ac:dyDescent="0.25">
      <c r="A340" t="s">
        <v>669</v>
      </c>
      <c r="B340" t="s">
        <v>670</v>
      </c>
      <c r="C340" t="s">
        <v>18</v>
      </c>
      <c r="D340" s="1">
        <v>314.31</v>
      </c>
      <c r="E340" s="2">
        <v>4061.58</v>
      </c>
      <c r="F340" s="2">
        <f>D340*E340</f>
      </c>
      <c r="G340" s="2">
        <f>F340*0.16</f>
      </c>
      <c r="H340" s="2">
        <f>F340+G340</f>
      </c>
    </row>
    <row r="341" spans="1:8" x14ac:dyDescent="0.25">
      <c r="A341" t="s">
        <v>671</v>
      </c>
      <c r="B341" t="s">
        <v>672</v>
      </c>
      <c r="C341" t="s">
        <v>18</v>
      </c>
      <c r="D341" s="1">
        <v>283.58</v>
      </c>
      <c r="E341" s="2">
        <v>4366.04</v>
      </c>
      <c r="F341" s="2">
        <f>D341*E341</f>
      </c>
      <c r="G341" s="2">
        <f>F341*0.16</f>
      </c>
      <c r="H341" s="2">
        <f>F341+G341</f>
      </c>
    </row>
    <row r="342" spans="1:8" x14ac:dyDescent="0.25">
      <c r="A342" t="s">
        <v>673</v>
      </c>
      <c r="B342" t="s">
        <v>674</v>
      </c>
      <c r="C342" t="s">
        <v>12</v>
      </c>
      <c r="D342" s="1">
        <v>220.35</v>
      </c>
      <c r="E342" s="2">
        <v>2595.86</v>
      </c>
      <c r="F342" s="2">
        <f>D342*E342</f>
      </c>
      <c r="G342" s="2">
        <f>F342*0.16</f>
      </c>
      <c r="H342" s="2">
        <f>F342+G342</f>
      </c>
    </row>
    <row r="343" spans="1:8" x14ac:dyDescent="0.25">
      <c r="A343" t="s">
        <v>675</v>
      </c>
      <c r="B343" t="s">
        <v>676</v>
      </c>
      <c r="C343" t="s">
        <v>34</v>
      </c>
      <c r="D343" s="1">
        <v>215.29</v>
      </c>
      <c r="E343" s="2">
        <v>385.49</v>
      </c>
      <c r="F343" s="2">
        <f>D343*E343</f>
      </c>
      <c r="G343" s="2">
        <f>F343*0.16</f>
      </c>
      <c r="H343" s="2">
        <f>F343+G343</f>
      </c>
    </row>
    <row r="344" spans="1:8" x14ac:dyDescent="0.25">
      <c r="A344" t="s">
        <v>677</v>
      </c>
      <c r="B344" t="s">
        <v>678</v>
      </c>
      <c r="C344" t="s">
        <v>15</v>
      </c>
      <c r="D344" s="1">
        <v>257.85</v>
      </c>
      <c r="E344" s="2">
        <v>4591.47</v>
      </c>
      <c r="F344" s="2">
        <f>D344*E344</f>
      </c>
      <c r="G344" s="2">
        <f>F344*0.16</f>
      </c>
      <c r="H344" s="2">
        <f>F344+G344</f>
      </c>
    </row>
    <row r="345" spans="1:8" x14ac:dyDescent="0.25">
      <c r="A345" t="s">
        <v>679</v>
      </c>
      <c r="B345" t="s">
        <v>680</v>
      </c>
      <c r="C345" t="s">
        <v>18</v>
      </c>
      <c r="D345" s="1">
        <v>474.17</v>
      </c>
      <c r="E345" s="2">
        <v>2173.42</v>
      </c>
      <c r="F345" s="2">
        <f>D345*E345</f>
      </c>
      <c r="G345" s="2">
        <f>F345*0.16</f>
      </c>
      <c r="H345" s="2">
        <f>F345+G345</f>
      </c>
    </row>
    <row r="346" spans="1:8" s="8" customFormat="1" x14ac:dyDescent="0.25">
      <c r="A346" s="8" t="s">
        <v>46</v>
      </c>
      <c r="B346" s="8" t="s">
        <v>681</v>
      </c>
      <c r="C346" s="8" t="s">
        <v>46</v>
      </c>
      <c r="D346" s="9" t="s">
        <v>46</v>
      </c>
      <c r="E346" s="10" t="s">
        <v>46</v>
      </c>
      <c r="F346" s="10">
        <f>SUM(F334:F345)</f>
      </c>
      <c r="G346" s="10">
        <f>SUM(G334:G345)</f>
      </c>
      <c r="H346" s="10">
        <f>SUM(H334:H345)</f>
      </c>
    </row>
    <row r="347" spans="1:8" x14ac:dyDescent="0.25">
      <c r="A347" s="7" t="s">
        <v>682</v>
      </c>
      <c r="B347" s="7"/>
      <c r="C347" s="7"/>
      <c r="D347" s="7"/>
      <c r="E347" s="7"/>
      <c r="F347" s="7"/>
      <c r="G347" s="7"/>
      <c r="H347" s="7"/>
    </row>
    <row r="348" spans="1:8" x14ac:dyDescent="0.25">
      <c r="A348" t="s">
        <v>683</v>
      </c>
      <c r="B348" t="s">
        <v>684</v>
      </c>
      <c r="C348" t="s">
        <v>34</v>
      </c>
      <c r="D348" s="1">
        <v>72.82</v>
      </c>
      <c r="E348" s="2">
        <v>1056.28</v>
      </c>
      <c r="F348" s="2">
        <f>D348*E348</f>
      </c>
      <c r="G348" s="2">
        <f>F348*0.16</f>
      </c>
      <c r="H348" s="2">
        <f>F348+G348</f>
      </c>
    </row>
    <row r="349" spans="1:8" x14ac:dyDescent="0.25">
      <c r="A349" t="s">
        <v>685</v>
      </c>
      <c r="B349" t="s">
        <v>686</v>
      </c>
      <c r="C349" t="s">
        <v>34</v>
      </c>
      <c r="D349" s="1">
        <v>191.9</v>
      </c>
      <c r="E349" s="2">
        <v>1925.81</v>
      </c>
      <c r="F349" s="2">
        <f>D349*E349</f>
      </c>
      <c r="G349" s="2">
        <f>F349*0.16</f>
      </c>
      <c r="H349" s="2">
        <f>F349+G349</f>
      </c>
    </row>
    <row r="350" spans="1:8" x14ac:dyDescent="0.25">
      <c r="A350" t="s">
        <v>687</v>
      </c>
      <c r="B350" t="s">
        <v>688</v>
      </c>
      <c r="C350" t="s">
        <v>41</v>
      </c>
      <c r="D350" s="1">
        <v>341.2</v>
      </c>
      <c r="E350" s="2">
        <v>2789.44</v>
      </c>
      <c r="F350" s="2">
        <f>D350*E350</f>
      </c>
      <c r="G350" s="2">
        <f>F350*0.16</f>
      </c>
      <c r="H350" s="2">
        <f>F350+G350</f>
      </c>
    </row>
    <row r="351" spans="1:8" x14ac:dyDescent="0.25">
      <c r="A351" t="s">
        <v>689</v>
      </c>
      <c r="B351" t="s">
        <v>690</v>
      </c>
      <c r="C351" t="s">
        <v>15</v>
      </c>
      <c r="D351" s="1">
        <v>218.8</v>
      </c>
      <c r="E351" s="2">
        <v>4427.62</v>
      </c>
      <c r="F351" s="2">
        <f>D351*E351</f>
      </c>
      <c r="G351" s="2">
        <f>F351*0.16</f>
      </c>
      <c r="H351" s="2">
        <f>F351+G351</f>
      </c>
    </row>
    <row r="352" spans="1:8" x14ac:dyDescent="0.25">
      <c r="A352" t="s">
        <v>691</v>
      </c>
      <c r="B352" t="s">
        <v>692</v>
      </c>
      <c r="C352" t="s">
        <v>41</v>
      </c>
      <c r="D352" s="1">
        <v>446.03</v>
      </c>
      <c r="E352" s="2">
        <v>4664.51</v>
      </c>
      <c r="F352" s="2">
        <f>D352*E352</f>
      </c>
      <c r="G352" s="2">
        <f>F352*0.16</f>
      </c>
      <c r="H352" s="2">
        <f>F352+G352</f>
      </c>
    </row>
    <row r="353" spans="1:8" x14ac:dyDescent="0.25">
      <c r="A353" t="s">
        <v>693</v>
      </c>
      <c r="B353" t="s">
        <v>694</v>
      </c>
      <c r="C353" t="s">
        <v>12</v>
      </c>
      <c r="D353" s="1">
        <v>135.03</v>
      </c>
      <c r="E353" s="2">
        <v>3351.39</v>
      </c>
      <c r="F353" s="2">
        <f>D353*E353</f>
      </c>
      <c r="G353" s="2">
        <f>F353*0.16</f>
      </c>
      <c r="H353" s="2">
        <f>F353+G353</f>
      </c>
    </row>
    <row r="354" spans="1:8" x14ac:dyDescent="0.25">
      <c r="A354" t="s">
        <v>695</v>
      </c>
      <c r="B354" t="s">
        <v>696</v>
      </c>
      <c r="C354" t="s">
        <v>41</v>
      </c>
      <c r="D354" s="1">
        <v>298.9</v>
      </c>
      <c r="E354" s="2">
        <v>2796.61</v>
      </c>
      <c r="F354" s="2">
        <f>D354*E354</f>
      </c>
      <c r="G354" s="2">
        <f>F354*0.16</f>
      </c>
      <c r="H354" s="2">
        <f>F354+G354</f>
      </c>
    </row>
    <row r="355" spans="1:8" x14ac:dyDescent="0.25">
      <c r="A355" t="s">
        <v>697</v>
      </c>
      <c r="B355" t="s">
        <v>698</v>
      </c>
      <c r="C355" t="s">
        <v>18</v>
      </c>
      <c r="D355" s="1">
        <v>287.45</v>
      </c>
      <c r="E355" s="2">
        <v>1722.84</v>
      </c>
      <c r="F355" s="2">
        <f>D355*E355</f>
      </c>
      <c r="G355" s="2">
        <f>F355*0.16</f>
      </c>
      <c r="H355" s="2">
        <f>F355+G355</f>
      </c>
    </row>
    <row r="356" spans="1:8" x14ac:dyDescent="0.25">
      <c r="A356" t="s">
        <v>699</v>
      </c>
      <c r="B356" t="s">
        <v>700</v>
      </c>
      <c r="C356" t="s">
        <v>18</v>
      </c>
      <c r="D356" s="1">
        <v>100.91</v>
      </c>
      <c r="E356" s="2">
        <v>1347.13</v>
      </c>
      <c r="F356" s="2">
        <f>D356*E356</f>
      </c>
      <c r="G356" s="2">
        <f>F356*0.16</f>
      </c>
      <c r="H356" s="2">
        <f>F356+G356</f>
      </c>
    </row>
    <row r="357" spans="1:8" x14ac:dyDescent="0.25">
      <c r="A357" t="s">
        <v>701</v>
      </c>
      <c r="B357" t="s">
        <v>702</v>
      </c>
      <c r="C357" t="s">
        <v>41</v>
      </c>
      <c r="D357" s="1">
        <v>48.14</v>
      </c>
      <c r="E357" s="2">
        <v>4398.71</v>
      </c>
      <c r="F357" s="2">
        <f>D357*E357</f>
      </c>
      <c r="G357" s="2">
        <f>F357*0.16</f>
      </c>
      <c r="H357" s="2">
        <f>F357+G357</f>
      </c>
    </row>
    <row r="358" spans="1:8" x14ac:dyDescent="0.25">
      <c r="A358" t="s">
        <v>703</v>
      </c>
      <c r="B358" t="s">
        <v>704</v>
      </c>
      <c r="C358" t="s">
        <v>18</v>
      </c>
      <c r="D358" s="1">
        <v>2.08</v>
      </c>
      <c r="E358" s="2">
        <v>2473.13</v>
      </c>
      <c r="F358" s="2">
        <f>D358*E358</f>
      </c>
      <c r="G358" s="2">
        <f>F358*0.16</f>
      </c>
      <c r="H358" s="2">
        <f>F358+G358</f>
      </c>
    </row>
    <row r="359" spans="1:8" x14ac:dyDescent="0.25">
      <c r="A359" t="s">
        <v>705</v>
      </c>
      <c r="B359" t="s">
        <v>706</v>
      </c>
      <c r="C359" t="s">
        <v>18</v>
      </c>
      <c r="D359" s="1">
        <v>350.38</v>
      </c>
      <c r="E359" s="2">
        <v>4625.78</v>
      </c>
      <c r="F359" s="2">
        <f>D359*E359</f>
      </c>
      <c r="G359" s="2">
        <f>F359*0.16</f>
      </c>
      <c r="H359" s="2">
        <f>F359+G359</f>
      </c>
    </row>
    <row r="360" spans="1:8" x14ac:dyDescent="0.25">
      <c r="A360" t="s">
        <v>707</v>
      </c>
      <c r="B360" t="s">
        <v>708</v>
      </c>
      <c r="C360" t="s">
        <v>15</v>
      </c>
      <c r="D360" s="1">
        <v>43.78</v>
      </c>
      <c r="E360" s="2">
        <v>4462.25</v>
      </c>
      <c r="F360" s="2">
        <f>D360*E360</f>
      </c>
      <c r="G360" s="2">
        <f>F360*0.16</f>
      </c>
      <c r="H360" s="2">
        <f>F360+G360</f>
      </c>
    </row>
    <row r="361" spans="1:8" x14ac:dyDescent="0.25">
      <c r="A361" t="s">
        <v>709</v>
      </c>
      <c r="B361" t="s">
        <v>710</v>
      </c>
      <c r="C361" t="s">
        <v>15</v>
      </c>
      <c r="D361" s="1">
        <v>380.83</v>
      </c>
      <c r="E361" s="2">
        <v>2876.39</v>
      </c>
      <c r="F361" s="2">
        <f>D361*E361</f>
      </c>
      <c r="G361" s="2">
        <f>F361*0.16</f>
      </c>
      <c r="H361" s="2">
        <f>F361+G361</f>
      </c>
    </row>
    <row r="362" spans="1:8" x14ac:dyDescent="0.25">
      <c r="A362" t="s">
        <v>711</v>
      </c>
      <c r="B362" t="s">
        <v>712</v>
      </c>
      <c r="C362" t="s">
        <v>41</v>
      </c>
      <c r="D362" s="1">
        <v>230.04</v>
      </c>
      <c r="E362" s="2">
        <v>1788.57</v>
      </c>
      <c r="F362" s="2">
        <f>D362*E362</f>
      </c>
      <c r="G362" s="2">
        <f>F362*0.16</f>
      </c>
      <c r="H362" s="2">
        <f>F362+G362</f>
      </c>
    </row>
    <row r="363" spans="1:8" x14ac:dyDescent="0.25">
      <c r="A363" t="s">
        <v>713</v>
      </c>
      <c r="B363" t="s">
        <v>714</v>
      </c>
      <c r="C363" t="s">
        <v>23</v>
      </c>
      <c r="D363" s="1">
        <v>354.73</v>
      </c>
      <c r="E363" s="2">
        <v>4161.13</v>
      </c>
      <c r="F363" s="2">
        <f>D363*E363</f>
      </c>
      <c r="G363" s="2">
        <f>F363*0.16</f>
      </c>
      <c r="H363" s="2">
        <f>F363+G363</f>
      </c>
    </row>
    <row r="364" spans="1:8" x14ac:dyDescent="0.25">
      <c r="A364" t="s">
        <v>715</v>
      </c>
      <c r="B364" t="s">
        <v>716</v>
      </c>
      <c r="C364" t="s">
        <v>34</v>
      </c>
      <c r="D364" s="1">
        <v>240.73</v>
      </c>
      <c r="E364" s="2">
        <v>2665.11</v>
      </c>
      <c r="F364" s="2">
        <f>D364*E364</f>
      </c>
      <c r="G364" s="2">
        <f>F364*0.16</f>
      </c>
      <c r="H364" s="2">
        <f>F364+G364</f>
      </c>
    </row>
    <row r="365" spans="1:8" x14ac:dyDescent="0.25">
      <c r="A365" t="s">
        <v>717</v>
      </c>
      <c r="B365" t="s">
        <v>718</v>
      </c>
      <c r="C365" t="s">
        <v>34</v>
      </c>
      <c r="D365" s="1">
        <v>62.61</v>
      </c>
      <c r="E365" s="2">
        <v>3707.44</v>
      </c>
      <c r="F365" s="2">
        <f>D365*E365</f>
      </c>
      <c r="G365" s="2">
        <f>F365*0.16</f>
      </c>
      <c r="H365" s="2">
        <f>F365+G365</f>
      </c>
    </row>
    <row r="366" spans="1:8" s="8" customFormat="1" x14ac:dyDescent="0.25">
      <c r="A366" s="8" t="s">
        <v>46</v>
      </c>
      <c r="B366" s="8" t="s">
        <v>719</v>
      </c>
      <c r="C366" s="8" t="s">
        <v>46</v>
      </c>
      <c r="D366" s="9" t="s">
        <v>46</v>
      </c>
      <c r="E366" s="10" t="s">
        <v>46</v>
      </c>
      <c r="F366" s="10">
        <f>SUM(F348:F365)</f>
      </c>
      <c r="G366" s="10">
        <f>SUM(G348:G365)</f>
      </c>
      <c r="H366" s="10">
        <f>SUM(H348:H365)</f>
      </c>
    </row>
    <row r="367" spans="1:8" x14ac:dyDescent="0.25">
      <c r="A367" s="7" t="s">
        <v>720</v>
      </c>
      <c r="B367" s="7"/>
      <c r="C367" s="7"/>
      <c r="D367" s="7"/>
      <c r="E367" s="7"/>
      <c r="F367" s="7"/>
      <c r="G367" s="7"/>
      <c r="H367" s="7"/>
    </row>
    <row r="368" spans="1:8" x14ac:dyDescent="0.25">
      <c r="A368" t="s">
        <v>721</v>
      </c>
      <c r="B368" t="s">
        <v>722</v>
      </c>
      <c r="C368" t="s">
        <v>18</v>
      </c>
      <c r="D368" s="1">
        <v>39.72</v>
      </c>
      <c r="E368" s="2">
        <v>4901.79</v>
      </c>
      <c r="F368" s="2">
        <f>D368*E368</f>
      </c>
      <c r="G368" s="2">
        <f>F368*0.16</f>
      </c>
      <c r="H368" s="2">
        <f>F368+G368</f>
      </c>
    </row>
    <row r="369" spans="1:8" x14ac:dyDescent="0.25">
      <c r="A369" t="s">
        <v>723</v>
      </c>
      <c r="B369" t="s">
        <v>724</v>
      </c>
      <c r="C369" t="s">
        <v>15</v>
      </c>
      <c r="D369" s="1">
        <v>133</v>
      </c>
      <c r="E369" s="2">
        <v>3094.81</v>
      </c>
      <c r="F369" s="2">
        <f>D369*E369</f>
      </c>
      <c r="G369" s="2">
        <f>F369*0.16</f>
      </c>
      <c r="H369" s="2">
        <f>F369+G369</f>
      </c>
    </row>
    <row r="370" spans="1:8" x14ac:dyDescent="0.25">
      <c r="A370" t="s">
        <v>725</v>
      </c>
      <c r="B370" t="s">
        <v>726</v>
      </c>
      <c r="C370" t="s">
        <v>15</v>
      </c>
      <c r="D370" s="1">
        <v>323.3</v>
      </c>
      <c r="E370" s="2">
        <v>2289.71</v>
      </c>
      <c r="F370" s="2">
        <f>D370*E370</f>
      </c>
      <c r="G370" s="2">
        <f>F370*0.16</f>
      </c>
      <c r="H370" s="2">
        <f>F370+G370</f>
      </c>
    </row>
    <row r="371" spans="1:8" x14ac:dyDescent="0.25">
      <c r="A371" t="s">
        <v>727</v>
      </c>
      <c r="B371" t="s">
        <v>728</v>
      </c>
      <c r="C371" t="s">
        <v>12</v>
      </c>
      <c r="D371" s="1">
        <v>15.65</v>
      </c>
      <c r="E371" s="2">
        <v>2867.57</v>
      </c>
      <c r="F371" s="2">
        <f>D371*E371</f>
      </c>
      <c r="G371" s="2">
        <f>F371*0.16</f>
      </c>
      <c r="H371" s="2">
        <f>F371+G371</f>
      </c>
    </row>
    <row r="372" spans="1:8" x14ac:dyDescent="0.25">
      <c r="A372" t="s">
        <v>729</v>
      </c>
      <c r="B372" t="s">
        <v>730</v>
      </c>
      <c r="C372" t="s">
        <v>12</v>
      </c>
      <c r="D372" s="1">
        <v>288.74</v>
      </c>
      <c r="E372" s="2">
        <v>364.36</v>
      </c>
      <c r="F372" s="2">
        <f>D372*E372</f>
      </c>
      <c r="G372" s="2">
        <f>F372*0.16</f>
      </c>
      <c r="H372" s="2">
        <f>F372+G372</f>
      </c>
    </row>
    <row r="373" spans="1:8" x14ac:dyDescent="0.25">
      <c r="A373" t="s">
        <v>731</v>
      </c>
      <c r="B373" t="s">
        <v>732</v>
      </c>
      <c r="C373" t="s">
        <v>18</v>
      </c>
      <c r="D373" s="1">
        <v>438.13</v>
      </c>
      <c r="E373" s="2">
        <v>1519.38</v>
      </c>
      <c r="F373" s="2">
        <f>D373*E373</f>
      </c>
      <c r="G373" s="2">
        <f>F373*0.16</f>
      </c>
      <c r="H373" s="2">
        <f>F373+G373</f>
      </c>
    </row>
    <row r="374" spans="1:8" x14ac:dyDescent="0.25">
      <c r="A374" t="s">
        <v>733</v>
      </c>
      <c r="B374" t="s">
        <v>734</v>
      </c>
      <c r="C374" t="s">
        <v>12</v>
      </c>
      <c r="D374" s="1">
        <v>158.52</v>
      </c>
      <c r="E374" s="2">
        <v>4093.06</v>
      </c>
      <c r="F374" s="2">
        <f>D374*E374</f>
      </c>
      <c r="G374" s="2">
        <f>F374*0.16</f>
      </c>
      <c r="H374" s="2">
        <f>F374+G374</f>
      </c>
    </row>
    <row r="375" spans="1:8" x14ac:dyDescent="0.25">
      <c r="A375" t="s">
        <v>735</v>
      </c>
      <c r="B375" t="s">
        <v>736</v>
      </c>
      <c r="C375" t="s">
        <v>34</v>
      </c>
      <c r="D375" s="1">
        <v>18.78</v>
      </c>
      <c r="E375" s="2">
        <v>567.95</v>
      </c>
      <c r="F375" s="2">
        <f>D375*E375</f>
      </c>
      <c r="G375" s="2">
        <f>F375*0.16</f>
      </c>
      <c r="H375" s="2">
        <f>F375+G375</f>
      </c>
    </row>
    <row r="376" spans="1:8" s="8" customFormat="1" x14ac:dyDescent="0.25">
      <c r="A376" s="8" t="s">
        <v>46</v>
      </c>
      <c r="B376" s="8" t="s">
        <v>737</v>
      </c>
      <c r="C376" s="8" t="s">
        <v>46</v>
      </c>
      <c r="D376" s="9" t="s">
        <v>46</v>
      </c>
      <c r="E376" s="10" t="s">
        <v>46</v>
      </c>
      <c r="F376" s="10">
        <f>SUM(F368:F375)</f>
      </c>
      <c r="G376" s="10">
        <f>SUM(G368:G375)</f>
      </c>
      <c r="H376" s="10">
        <f>SUM(H368:H375)</f>
      </c>
    </row>
    <row r="377" spans="1:8" x14ac:dyDescent="0.25">
      <c r="A377" s="7" t="s">
        <v>738</v>
      </c>
      <c r="B377" s="7"/>
      <c r="C377" s="7"/>
      <c r="D377" s="7"/>
      <c r="E377" s="7"/>
      <c r="F377" s="7"/>
      <c r="G377" s="7"/>
      <c r="H377" s="7"/>
    </row>
    <row r="378" spans="1:8" x14ac:dyDescent="0.25">
      <c r="A378" t="s">
        <v>739</v>
      </c>
      <c r="B378" t="s">
        <v>740</v>
      </c>
      <c r="C378" t="s">
        <v>12</v>
      </c>
      <c r="D378" s="1">
        <v>283.69</v>
      </c>
      <c r="E378" s="2">
        <v>4047.34</v>
      </c>
      <c r="F378" s="2">
        <f>D378*E378</f>
      </c>
      <c r="G378" s="2">
        <f>F378*0.16</f>
      </c>
      <c r="H378" s="2">
        <f>F378+G378</f>
      </c>
    </row>
    <row r="379" spans="1:8" x14ac:dyDescent="0.25">
      <c r="A379" t="s">
        <v>741</v>
      </c>
      <c r="B379" t="s">
        <v>742</v>
      </c>
      <c r="C379" t="s">
        <v>18</v>
      </c>
      <c r="D379" s="1">
        <v>310.27</v>
      </c>
      <c r="E379" s="2">
        <v>2138.31</v>
      </c>
      <c r="F379" s="2">
        <f>D379*E379</f>
      </c>
      <c r="G379" s="2">
        <f>F379*0.16</f>
      </c>
      <c r="H379" s="2">
        <f>F379+G379</f>
      </c>
    </row>
    <row r="380" spans="1:8" x14ac:dyDescent="0.25">
      <c r="A380" t="s">
        <v>743</v>
      </c>
      <c r="B380" t="s">
        <v>744</v>
      </c>
      <c r="C380" t="s">
        <v>34</v>
      </c>
      <c r="D380" s="1">
        <v>338.54</v>
      </c>
      <c r="E380" s="2">
        <v>2438.45</v>
      </c>
      <c r="F380" s="2">
        <f>D380*E380</f>
      </c>
      <c r="G380" s="2">
        <f>F380*0.16</f>
      </c>
      <c r="H380" s="2">
        <f>F380+G380</f>
      </c>
    </row>
    <row r="381" spans="1:8" x14ac:dyDescent="0.25">
      <c r="A381" t="s">
        <v>745</v>
      </c>
      <c r="B381" t="s">
        <v>746</v>
      </c>
      <c r="C381" t="s">
        <v>34</v>
      </c>
      <c r="D381" s="1">
        <v>465.98</v>
      </c>
      <c r="E381" s="2">
        <v>2354.88</v>
      </c>
      <c r="F381" s="2">
        <f>D381*E381</f>
      </c>
      <c r="G381" s="2">
        <f>F381*0.16</f>
      </c>
      <c r="H381" s="2">
        <f>F381+G381</f>
      </c>
    </row>
    <row r="382" spans="1:8" x14ac:dyDescent="0.25">
      <c r="A382" t="s">
        <v>747</v>
      </c>
      <c r="B382" t="s">
        <v>748</v>
      </c>
      <c r="C382" t="s">
        <v>15</v>
      </c>
      <c r="D382" s="1">
        <v>213.12</v>
      </c>
      <c r="E382" s="2">
        <v>939.3</v>
      </c>
      <c r="F382" s="2">
        <f>D382*E382</f>
      </c>
      <c r="G382" s="2">
        <f>F382*0.16</f>
      </c>
      <c r="H382" s="2">
        <f>F382+G382</f>
      </c>
    </row>
    <row r="383" spans="1:8" x14ac:dyDescent="0.25">
      <c r="A383" t="s">
        <v>749</v>
      </c>
      <c r="B383" t="s">
        <v>750</v>
      </c>
      <c r="C383" t="s">
        <v>34</v>
      </c>
      <c r="D383" s="1">
        <v>494.13</v>
      </c>
      <c r="E383" s="2">
        <v>3963.15</v>
      </c>
      <c r="F383" s="2">
        <f>D383*E383</f>
      </c>
      <c r="G383" s="2">
        <f>F383*0.16</f>
      </c>
      <c r="H383" s="2">
        <f>F383+G383</f>
      </c>
    </row>
    <row r="384" spans="1:8" x14ac:dyDescent="0.25">
      <c r="A384" t="s">
        <v>751</v>
      </c>
      <c r="B384" t="s">
        <v>752</v>
      </c>
      <c r="C384" t="s">
        <v>15</v>
      </c>
      <c r="D384" s="1">
        <v>261.5</v>
      </c>
      <c r="E384" s="2">
        <v>4617.46</v>
      </c>
      <c r="F384" s="2">
        <f>D384*E384</f>
      </c>
      <c r="G384" s="2">
        <f>F384*0.16</f>
      </c>
      <c r="H384" s="2">
        <f>F384+G384</f>
      </c>
    </row>
    <row r="385" spans="1:8" x14ac:dyDescent="0.25">
      <c r="A385" t="s">
        <v>753</v>
      </c>
      <c r="B385" t="s">
        <v>754</v>
      </c>
      <c r="C385" t="s">
        <v>23</v>
      </c>
      <c r="D385" s="1">
        <v>426</v>
      </c>
      <c r="E385" s="2">
        <v>3116.73</v>
      </c>
      <c r="F385" s="2">
        <f>D385*E385</f>
      </c>
      <c r="G385" s="2">
        <f>F385*0.16</f>
      </c>
      <c r="H385" s="2">
        <f>F385+G385</f>
      </c>
    </row>
    <row r="386" spans="1:8" x14ac:dyDescent="0.25">
      <c r="A386" t="s">
        <v>755</v>
      </c>
      <c r="B386" t="s">
        <v>756</v>
      </c>
      <c r="C386" t="s">
        <v>34</v>
      </c>
      <c r="D386" s="1">
        <v>99.51</v>
      </c>
      <c r="E386" s="2">
        <v>4315.04</v>
      </c>
      <c r="F386" s="2">
        <f>D386*E386</f>
      </c>
      <c r="G386" s="2">
        <f>F386*0.16</f>
      </c>
      <c r="H386" s="2">
        <f>F386+G386</f>
      </c>
    </row>
    <row r="387" spans="1:8" x14ac:dyDescent="0.25">
      <c r="A387" t="s">
        <v>757</v>
      </c>
      <c r="B387" t="s">
        <v>758</v>
      </c>
      <c r="C387" t="s">
        <v>12</v>
      </c>
      <c r="D387" s="1">
        <v>164.32</v>
      </c>
      <c r="E387" s="2">
        <v>2261.14</v>
      </c>
      <c r="F387" s="2">
        <f>D387*E387</f>
      </c>
      <c r="G387" s="2">
        <f>F387*0.16</f>
      </c>
      <c r="H387" s="2">
        <f>F387+G387</f>
      </c>
    </row>
    <row r="388" spans="1:8" s="8" customFormat="1" x14ac:dyDescent="0.25">
      <c r="A388" s="8" t="s">
        <v>46</v>
      </c>
      <c r="B388" s="8" t="s">
        <v>759</v>
      </c>
      <c r="C388" s="8" t="s">
        <v>46</v>
      </c>
      <c r="D388" s="9" t="s">
        <v>46</v>
      </c>
      <c r="E388" s="10" t="s">
        <v>46</v>
      </c>
      <c r="F388" s="10">
        <f>SUM(F378:F387)</f>
      </c>
      <c r="G388" s="10">
        <f>SUM(G378:G387)</f>
      </c>
      <c r="H388" s="10">
        <f>SUM(H378:H387)</f>
      </c>
    </row>
    <row r="389" spans="1:8" x14ac:dyDescent="0.25">
      <c r="A389" s="7" t="s">
        <v>760</v>
      </c>
      <c r="B389" s="7"/>
      <c r="C389" s="7"/>
      <c r="D389" s="7"/>
      <c r="E389" s="7"/>
      <c r="F389" s="7"/>
      <c r="G389" s="7"/>
      <c r="H389" s="7"/>
    </row>
    <row r="390" spans="1:8" x14ac:dyDescent="0.25">
      <c r="A390" t="s">
        <v>761</v>
      </c>
      <c r="B390" t="s">
        <v>762</v>
      </c>
      <c r="C390" t="s">
        <v>15</v>
      </c>
      <c r="D390" s="1">
        <v>46.54</v>
      </c>
      <c r="E390" s="2">
        <v>78.17</v>
      </c>
      <c r="F390" s="2">
        <f>D390*E390</f>
      </c>
      <c r="G390" s="2">
        <f>F390*0.16</f>
      </c>
      <c r="H390" s="2">
        <f>F390+G390</f>
      </c>
    </row>
    <row r="391" spans="1:8" x14ac:dyDescent="0.25">
      <c r="A391" t="s">
        <v>763</v>
      </c>
      <c r="B391" t="s">
        <v>764</v>
      </c>
      <c r="C391" t="s">
        <v>12</v>
      </c>
      <c r="D391" s="1">
        <v>481.25</v>
      </c>
      <c r="E391" s="2">
        <v>237.67</v>
      </c>
      <c r="F391" s="2">
        <f>D391*E391</f>
      </c>
      <c r="G391" s="2">
        <f>F391*0.16</f>
      </c>
      <c r="H391" s="2">
        <f>F391+G391</f>
      </c>
    </row>
    <row r="392" spans="1:8" x14ac:dyDescent="0.25">
      <c r="A392" t="s">
        <v>765</v>
      </c>
      <c r="B392" t="s">
        <v>766</v>
      </c>
      <c r="C392" t="s">
        <v>41</v>
      </c>
      <c r="D392" s="1">
        <v>428.47</v>
      </c>
      <c r="E392" s="2">
        <v>4480.26</v>
      </c>
      <c r="F392" s="2">
        <f>D392*E392</f>
      </c>
      <c r="G392" s="2">
        <f>F392*0.16</f>
      </c>
      <c r="H392" s="2">
        <f>F392+G392</f>
      </c>
    </row>
    <row r="393" spans="1:8" x14ac:dyDescent="0.25">
      <c r="A393" t="s">
        <v>767</v>
      </c>
      <c r="B393" t="s">
        <v>768</v>
      </c>
      <c r="C393" t="s">
        <v>41</v>
      </c>
      <c r="D393" s="1">
        <v>330.43</v>
      </c>
      <c r="E393" s="2">
        <v>1580.07</v>
      </c>
      <c r="F393" s="2">
        <f>D393*E393</f>
      </c>
      <c r="G393" s="2">
        <f>F393*0.16</f>
      </c>
      <c r="H393" s="2">
        <f>F393+G393</f>
      </c>
    </row>
    <row r="394" spans="1:8" x14ac:dyDescent="0.25">
      <c r="A394" t="s">
        <v>769</v>
      </c>
      <c r="B394" t="s">
        <v>770</v>
      </c>
      <c r="C394" t="s">
        <v>34</v>
      </c>
      <c r="D394" s="1">
        <v>318.4</v>
      </c>
      <c r="E394" s="2">
        <v>3873.84</v>
      </c>
      <c r="F394" s="2">
        <f>D394*E394</f>
      </c>
      <c r="G394" s="2">
        <f>F394*0.16</f>
      </c>
      <c r="H394" s="2">
        <f>F394+G394</f>
      </c>
    </row>
    <row r="395" spans="1:8" s="8" customFormat="1" x14ac:dyDescent="0.25">
      <c r="A395" s="8" t="s">
        <v>46</v>
      </c>
      <c r="B395" s="8" t="s">
        <v>771</v>
      </c>
      <c r="C395" s="8" t="s">
        <v>46</v>
      </c>
      <c r="D395" s="9" t="s">
        <v>46</v>
      </c>
      <c r="E395" s="10" t="s">
        <v>46</v>
      </c>
      <c r="F395" s="10">
        <f>SUM(F390:F394)</f>
      </c>
      <c r="G395" s="10">
        <f>SUM(G390:G394)</f>
      </c>
      <c r="H395" s="10">
        <f>SUM(H390:H394)</f>
      </c>
    </row>
    <row r="397" spans="1:8" x14ac:dyDescent="0.25">
      <c r="A397" s="11" t="s">
        <v>772</v>
      </c>
      <c r="B397" s="11"/>
      <c r="C397" s="11"/>
      <c r="D397" s="11"/>
      <c r="E397" s="11"/>
      <c r="F397" s="2"/>
      <c r="G397" s="2"/>
      <c r="H397" s="2"/>
    </row>
  </sheetData>
  <mergeCells count="17">
    <mergeCell ref="A1:H1"/>
    <mergeCell ref="A3:H3"/>
    <mergeCell ref="A20:H20"/>
    <mergeCell ref="A47:H47"/>
    <mergeCell ref="A89:H89"/>
    <mergeCell ref="A121:H121"/>
    <mergeCell ref="A158:H158"/>
    <mergeCell ref="A185:H185"/>
    <mergeCell ref="A232:H232"/>
    <mergeCell ref="A294:H294"/>
    <mergeCell ref="A316:H316"/>
    <mergeCell ref="A333:H333"/>
    <mergeCell ref="A347:H347"/>
    <mergeCell ref="A367:H367"/>
    <mergeCell ref="A377:H377"/>
    <mergeCell ref="A389:H389"/>
    <mergeCell ref="A397:E39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7"/>
  <sheetFormatPr defaultRowHeight="15" outlineLevelRow="0" outlineLevelCol="0" x14ac:dyDescent="55"/>
  <cols>
    <col min="1" max="1" width="12" customWidth="1"/>
    <col min="2" max="2" width="50" customWidth="1"/>
    <col min="3" max="3" width="10" customWidth="1"/>
    <col min="4" max="4" width="12" style="1" customWidth="1"/>
    <col min="5" max="5" width="14" style="2" customWidth="1"/>
    <col min="6" max="6" width="16" style="2" customWidth="1"/>
    <col min="7" max="7" width="14" style="2" customWidth="1"/>
    <col min="8" max="8" width="16" style="2" customWidth="1"/>
  </cols>
  <sheetData>
    <row r="1" spans="1:8" x14ac:dyDescent="0.25">
      <c r="A1" s="3" t="s">
        <v>773</v>
      </c>
      <c r="B1" s="3"/>
      <c r="C1" s="3"/>
      <c r="D1" s="3"/>
      <c r="E1" s="3"/>
      <c r="F1" s="3"/>
      <c r="G1" s="3"/>
      <c r="H1" s="3"/>
    </row>
    <row r="2" spans="1:8" s="4" customFormat="1" x14ac:dyDescent="0.25">
      <c r="A2" s="4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5">
      <c r="A3" s="7" t="s">
        <v>9</v>
      </c>
      <c r="B3" s="7"/>
      <c r="C3" s="7"/>
      <c r="D3" s="7"/>
      <c r="E3" s="7"/>
      <c r="F3" s="7"/>
      <c r="G3" s="7"/>
      <c r="H3" s="7"/>
    </row>
    <row r="4" spans="1:8" x14ac:dyDescent="0.25">
      <c r="A4" t="s">
        <v>10</v>
      </c>
      <c r="B4" t="s">
        <v>11</v>
      </c>
      <c r="C4" t="s">
        <v>12</v>
      </c>
      <c r="D4" s="1">
        <v>123.81</v>
      </c>
      <c r="E4" s="2">
        <v>2994.7</v>
      </c>
      <c r="F4" s="2">
        <f>D4*E4</f>
      </c>
      <c r="G4" s="2">
        <f>F4*0.16</f>
      </c>
      <c r="H4" s="2">
        <f>F4+G4</f>
      </c>
    </row>
    <row r="5" spans="1:8" x14ac:dyDescent="0.25">
      <c r="A5" t="s">
        <v>13</v>
      </c>
      <c r="B5" t="s">
        <v>14</v>
      </c>
      <c r="C5" t="s">
        <v>23</v>
      </c>
      <c r="D5" s="1">
        <v>304.79</v>
      </c>
      <c r="E5" s="2">
        <v>589.52</v>
      </c>
      <c r="F5" s="2">
        <f>D5*E5</f>
      </c>
      <c r="G5" s="2">
        <f>F5*0.16</f>
      </c>
      <c r="H5" s="2">
        <f>F5+G5</f>
      </c>
    </row>
    <row r="6" spans="1:8" x14ac:dyDescent="0.25">
      <c r="A6" t="s">
        <v>16</v>
      </c>
      <c r="B6" t="s">
        <v>17</v>
      </c>
      <c r="C6" t="s">
        <v>12</v>
      </c>
      <c r="D6" s="1">
        <v>11.09</v>
      </c>
      <c r="E6" s="2">
        <v>3415.85</v>
      </c>
      <c r="F6" s="2">
        <f>D6*E6</f>
      </c>
      <c r="G6" s="2">
        <f>F6*0.16</f>
      </c>
      <c r="H6" s="2">
        <f>F6+G6</f>
      </c>
    </row>
    <row r="7" spans="1:8" x14ac:dyDescent="0.25">
      <c r="A7" t="s">
        <v>19</v>
      </c>
      <c r="B7" t="s">
        <v>20</v>
      </c>
      <c r="C7" t="s">
        <v>23</v>
      </c>
      <c r="D7" s="1">
        <v>174.58</v>
      </c>
      <c r="E7" s="2">
        <v>619.64</v>
      </c>
      <c r="F7" s="2">
        <f>D7*E7</f>
      </c>
      <c r="G7" s="2">
        <f>F7*0.16</f>
      </c>
      <c r="H7" s="2">
        <f>F7+G7</f>
      </c>
    </row>
    <row r="8" spans="1:8" x14ac:dyDescent="0.25">
      <c r="A8" t="s">
        <v>21</v>
      </c>
      <c r="B8" t="s">
        <v>22</v>
      </c>
      <c r="C8" t="s">
        <v>18</v>
      </c>
      <c r="D8" s="1">
        <v>70.39</v>
      </c>
      <c r="E8" s="2">
        <v>3239.31</v>
      </c>
      <c r="F8" s="2">
        <f>D8*E8</f>
      </c>
      <c r="G8" s="2">
        <f>F8*0.16</f>
      </c>
      <c r="H8" s="2">
        <f>F8+G8</f>
      </c>
    </row>
    <row r="9" spans="1:8" x14ac:dyDescent="0.25">
      <c r="A9" t="s">
        <v>24</v>
      </c>
      <c r="B9" t="s">
        <v>25</v>
      </c>
      <c r="C9" t="s">
        <v>18</v>
      </c>
      <c r="D9" s="1">
        <v>429.08</v>
      </c>
      <c r="E9" s="2">
        <v>2259.1</v>
      </c>
      <c r="F9" s="2">
        <f>D9*E9</f>
      </c>
      <c r="G9" s="2">
        <f>F9*0.16</f>
      </c>
      <c r="H9" s="2">
        <f>F9+G9</f>
      </c>
    </row>
    <row r="10" spans="1:8" x14ac:dyDescent="0.25">
      <c r="A10" t="s">
        <v>26</v>
      </c>
      <c r="B10" t="s">
        <v>27</v>
      </c>
      <c r="C10" t="s">
        <v>34</v>
      </c>
      <c r="D10" s="1">
        <v>371.43</v>
      </c>
      <c r="E10" s="2">
        <v>1523.25</v>
      </c>
      <c r="F10" s="2">
        <f>D10*E10</f>
      </c>
      <c r="G10" s="2">
        <f>F10*0.16</f>
      </c>
      <c r="H10" s="2">
        <f>F10+G10</f>
      </c>
    </row>
    <row r="11" spans="1:8" x14ac:dyDescent="0.25">
      <c r="A11" t="s">
        <v>28</v>
      </c>
      <c r="B11" t="s">
        <v>29</v>
      </c>
      <c r="C11" t="s">
        <v>34</v>
      </c>
      <c r="D11" s="1">
        <v>459.52</v>
      </c>
      <c r="E11" s="2">
        <v>947.25</v>
      </c>
      <c r="F11" s="2">
        <f>D11*E11</f>
      </c>
      <c r="G11" s="2">
        <f>F11*0.16</f>
      </c>
      <c r="H11" s="2">
        <f>F11+G11</f>
      </c>
    </row>
    <row r="12" spans="1:8" x14ac:dyDescent="0.25">
      <c r="A12" t="s">
        <v>30</v>
      </c>
      <c r="B12" t="s">
        <v>31</v>
      </c>
      <c r="C12" t="s">
        <v>18</v>
      </c>
      <c r="D12" s="1">
        <v>284.37</v>
      </c>
      <c r="E12" s="2">
        <v>3210.7</v>
      </c>
      <c r="F12" s="2">
        <f>D12*E12</f>
      </c>
      <c r="G12" s="2">
        <f>F12*0.16</f>
      </c>
      <c r="H12" s="2">
        <f>F12+G12</f>
      </c>
    </row>
    <row r="13" spans="1:8" x14ac:dyDescent="0.25">
      <c r="A13" t="s">
        <v>32</v>
      </c>
      <c r="B13" t="s">
        <v>33</v>
      </c>
      <c r="C13" t="s">
        <v>23</v>
      </c>
      <c r="D13" s="1">
        <v>413.95</v>
      </c>
      <c r="E13" s="2">
        <v>2496.53</v>
      </c>
      <c r="F13" s="2">
        <f>D13*E13</f>
      </c>
      <c r="G13" s="2">
        <f>F13*0.16</f>
      </c>
      <c r="H13" s="2">
        <f>F13+G13</f>
      </c>
    </row>
    <row r="14" spans="1:8" x14ac:dyDescent="0.25">
      <c r="A14" t="s">
        <v>35</v>
      </c>
      <c r="B14" t="s">
        <v>36</v>
      </c>
      <c r="C14" t="s">
        <v>12</v>
      </c>
      <c r="D14" s="1">
        <v>48.21</v>
      </c>
      <c r="E14" s="2">
        <v>4681.87</v>
      </c>
      <c r="F14" s="2">
        <f>D14*E14</f>
      </c>
      <c r="G14" s="2">
        <f>F14*0.16</f>
      </c>
      <c r="H14" s="2">
        <f>F14+G14</f>
      </c>
    </row>
    <row r="15" spans="1:8" x14ac:dyDescent="0.25">
      <c r="A15" t="s">
        <v>37</v>
      </c>
      <c r="B15" t="s">
        <v>38</v>
      </c>
      <c r="C15" t="s">
        <v>41</v>
      </c>
      <c r="D15" s="1">
        <v>99.67</v>
      </c>
      <c r="E15" s="2">
        <v>2134.36</v>
      </c>
      <c r="F15" s="2">
        <f>D15*E15</f>
      </c>
      <c r="G15" s="2">
        <f>F15*0.16</f>
      </c>
      <c r="H15" s="2">
        <f>F15+G15</f>
      </c>
    </row>
    <row r="16" spans="1:8" x14ac:dyDescent="0.25">
      <c r="A16" t="s">
        <v>39</v>
      </c>
      <c r="B16" t="s">
        <v>40</v>
      </c>
      <c r="C16" t="s">
        <v>23</v>
      </c>
      <c r="D16" s="1">
        <v>34.02</v>
      </c>
      <c r="E16" s="2">
        <v>4657.61</v>
      </c>
      <c r="F16" s="2">
        <f>D16*E16</f>
      </c>
      <c r="G16" s="2">
        <f>F16*0.16</f>
      </c>
      <c r="H16" s="2">
        <f>F16+G16</f>
      </c>
    </row>
    <row r="17" spans="1:8" x14ac:dyDescent="0.25">
      <c r="A17" t="s">
        <v>42</v>
      </c>
      <c r="B17" t="s">
        <v>43</v>
      </c>
      <c r="C17" t="s">
        <v>15</v>
      </c>
      <c r="D17" s="1">
        <v>50.15</v>
      </c>
      <c r="E17" s="2">
        <v>2055.48</v>
      </c>
      <c r="F17" s="2">
        <f>D17*E17</f>
      </c>
      <c r="G17" s="2">
        <f>F17*0.16</f>
      </c>
      <c r="H17" s="2">
        <f>F17+G17</f>
      </c>
    </row>
    <row r="18" spans="1:8" x14ac:dyDescent="0.25">
      <c r="A18" t="s">
        <v>44</v>
      </c>
      <c r="B18" t="s">
        <v>45</v>
      </c>
      <c r="C18" t="s">
        <v>34</v>
      </c>
      <c r="D18" s="1">
        <v>364.31</v>
      </c>
      <c r="E18" s="2">
        <v>992.5</v>
      </c>
      <c r="F18" s="2">
        <f>D18*E18</f>
      </c>
      <c r="G18" s="2">
        <f>F18*0.16</f>
      </c>
      <c r="H18" s="2">
        <f>F18+G18</f>
      </c>
    </row>
    <row r="19" spans="1:8" s="8" customFormat="1" x14ac:dyDescent="0.25">
      <c r="A19" s="8" t="s">
        <v>46</v>
      </c>
      <c r="B19" s="8" t="s">
        <v>47</v>
      </c>
      <c r="C19" s="8" t="s">
        <v>46</v>
      </c>
      <c r="D19" s="9" t="s">
        <v>46</v>
      </c>
      <c r="E19" s="10" t="s">
        <v>46</v>
      </c>
      <c r="F19" s="10">
        <f>SUM(F4:F18)</f>
      </c>
      <c r="G19" s="10">
        <f>SUM(G4:G18)</f>
      </c>
      <c r="H19" s="10">
        <f>SUM(H4:H18)</f>
      </c>
    </row>
    <row r="20" spans="1:8" x14ac:dyDescent="0.25">
      <c r="A20" s="7" t="s">
        <v>48</v>
      </c>
      <c r="B20" s="7"/>
      <c r="C20" s="7"/>
      <c r="D20" s="7"/>
      <c r="E20" s="7"/>
      <c r="F20" s="7"/>
      <c r="G20" s="7"/>
      <c r="H20" s="7"/>
    </row>
    <row r="21" spans="1:8" x14ac:dyDescent="0.25">
      <c r="A21" t="s">
        <v>49</v>
      </c>
      <c r="B21" t="s">
        <v>50</v>
      </c>
      <c r="C21" t="s">
        <v>41</v>
      </c>
      <c r="D21" s="1">
        <v>19.15</v>
      </c>
      <c r="E21" s="2">
        <v>1994.53</v>
      </c>
      <c r="F21" s="2">
        <f>D21*E21</f>
      </c>
      <c r="G21" s="2">
        <f>F21*0.16</f>
      </c>
      <c r="H21" s="2">
        <f>F21+G21</f>
      </c>
    </row>
    <row r="22" spans="1:8" x14ac:dyDescent="0.25">
      <c r="A22" t="s">
        <v>51</v>
      </c>
      <c r="B22" t="s">
        <v>52</v>
      </c>
      <c r="C22" t="s">
        <v>15</v>
      </c>
      <c r="D22" s="1">
        <v>401.02</v>
      </c>
      <c r="E22" s="2">
        <v>1385.04</v>
      </c>
      <c r="F22" s="2">
        <f>D22*E22</f>
      </c>
      <c r="G22" s="2">
        <f>F22*0.16</f>
      </c>
      <c r="H22" s="2">
        <f>F22+G22</f>
      </c>
    </row>
    <row r="23" spans="1:8" x14ac:dyDescent="0.25">
      <c r="A23" t="s">
        <v>53</v>
      </c>
      <c r="B23" t="s">
        <v>54</v>
      </c>
      <c r="C23" t="s">
        <v>12</v>
      </c>
      <c r="D23" s="1">
        <v>306.17</v>
      </c>
      <c r="E23" s="2">
        <v>4851.02</v>
      </c>
      <c r="F23" s="2">
        <f>D23*E23</f>
      </c>
      <c r="G23" s="2">
        <f>F23*0.16</f>
      </c>
      <c r="H23" s="2">
        <f>F23+G23</f>
      </c>
    </row>
    <row r="24" spans="1:8" x14ac:dyDescent="0.25">
      <c r="A24" t="s">
        <v>55</v>
      </c>
      <c r="B24" t="s">
        <v>56</v>
      </c>
      <c r="C24" t="s">
        <v>15</v>
      </c>
      <c r="D24" s="1">
        <v>402.19</v>
      </c>
      <c r="E24" s="2">
        <v>2446.99</v>
      </c>
      <c r="F24" s="2">
        <f>D24*E24</f>
      </c>
      <c r="G24" s="2">
        <f>F24*0.16</f>
      </c>
      <c r="H24" s="2">
        <f>F24+G24</f>
      </c>
    </row>
    <row r="25" spans="1:8" x14ac:dyDescent="0.25">
      <c r="A25" t="s">
        <v>57</v>
      </c>
      <c r="B25" t="s">
        <v>58</v>
      </c>
      <c r="C25" t="s">
        <v>18</v>
      </c>
      <c r="D25" s="1">
        <v>244.62</v>
      </c>
      <c r="E25" s="2">
        <v>4024.12</v>
      </c>
      <c r="F25" s="2">
        <f>D25*E25</f>
      </c>
      <c r="G25" s="2">
        <f>F25*0.16</f>
      </c>
      <c r="H25" s="2">
        <f>F25+G25</f>
      </c>
    </row>
    <row r="26" spans="1:8" x14ac:dyDescent="0.25">
      <c r="A26" t="s">
        <v>59</v>
      </c>
      <c r="B26" t="s">
        <v>60</v>
      </c>
      <c r="C26" t="s">
        <v>41</v>
      </c>
      <c r="D26" s="1">
        <v>433.41</v>
      </c>
      <c r="E26" s="2">
        <v>2119.27</v>
      </c>
      <c r="F26" s="2">
        <f>D26*E26</f>
      </c>
      <c r="G26" s="2">
        <f>F26*0.16</f>
      </c>
      <c r="H26" s="2">
        <f>F26+G26</f>
      </c>
    </row>
    <row r="27" spans="1:8" x14ac:dyDescent="0.25">
      <c r="A27" t="s">
        <v>61</v>
      </c>
      <c r="B27" t="s">
        <v>62</v>
      </c>
      <c r="C27" t="s">
        <v>15</v>
      </c>
      <c r="D27" s="1">
        <v>66.02</v>
      </c>
      <c r="E27" s="2">
        <v>4690.09</v>
      </c>
      <c r="F27" s="2">
        <f>D27*E27</f>
      </c>
      <c r="G27" s="2">
        <f>F27*0.16</f>
      </c>
      <c r="H27" s="2">
        <f>F27+G27</f>
      </c>
    </row>
    <row r="28" spans="1:8" x14ac:dyDescent="0.25">
      <c r="A28" t="s">
        <v>63</v>
      </c>
      <c r="B28" t="s">
        <v>64</v>
      </c>
      <c r="C28" t="s">
        <v>41</v>
      </c>
      <c r="D28" s="1">
        <v>228.88</v>
      </c>
      <c r="E28" s="2">
        <v>3022.9</v>
      </c>
      <c r="F28" s="2">
        <f>D28*E28</f>
      </c>
      <c r="G28" s="2">
        <f>F28*0.16</f>
      </c>
      <c r="H28" s="2">
        <f>F28+G28</f>
      </c>
    </row>
    <row r="29" spans="1:8" x14ac:dyDescent="0.25">
      <c r="A29" t="s">
        <v>65</v>
      </c>
      <c r="B29" t="s">
        <v>66</v>
      </c>
      <c r="C29" t="s">
        <v>12</v>
      </c>
      <c r="D29" s="1">
        <v>147.84</v>
      </c>
      <c r="E29" s="2">
        <v>2797.72</v>
      </c>
      <c r="F29" s="2">
        <f>D29*E29</f>
      </c>
      <c r="G29" s="2">
        <f>F29*0.16</f>
      </c>
      <c r="H29" s="2">
        <f>F29+G29</f>
      </c>
    </row>
    <row r="30" spans="1:8" x14ac:dyDescent="0.25">
      <c r="A30" t="s">
        <v>67</v>
      </c>
      <c r="B30" t="s">
        <v>68</v>
      </c>
      <c r="C30" t="s">
        <v>15</v>
      </c>
      <c r="D30" s="1">
        <v>250.56</v>
      </c>
      <c r="E30" s="2">
        <v>3690.2</v>
      </c>
      <c r="F30" s="2">
        <f>D30*E30</f>
      </c>
      <c r="G30" s="2">
        <f>F30*0.16</f>
      </c>
      <c r="H30" s="2">
        <f>F30+G30</f>
      </c>
    </row>
    <row r="31" spans="1:8" x14ac:dyDescent="0.25">
      <c r="A31" t="s">
        <v>69</v>
      </c>
      <c r="B31" t="s">
        <v>70</v>
      </c>
      <c r="C31" t="s">
        <v>23</v>
      </c>
      <c r="D31" s="1">
        <v>28.17</v>
      </c>
      <c r="E31" s="2">
        <v>936.02</v>
      </c>
      <c r="F31" s="2">
        <f>D31*E31</f>
      </c>
      <c r="G31" s="2">
        <f>F31*0.16</f>
      </c>
      <c r="H31" s="2">
        <f>F31+G31</f>
      </c>
    </row>
    <row r="32" spans="1:8" x14ac:dyDescent="0.25">
      <c r="A32" t="s">
        <v>71</v>
      </c>
      <c r="B32" t="s">
        <v>72</v>
      </c>
      <c r="C32" t="s">
        <v>15</v>
      </c>
      <c r="D32" s="1">
        <v>149.98</v>
      </c>
      <c r="E32" s="2">
        <v>4956.53</v>
      </c>
      <c r="F32" s="2">
        <f>D32*E32</f>
      </c>
      <c r="G32" s="2">
        <f>F32*0.16</f>
      </c>
      <c r="H32" s="2">
        <f>F32+G32</f>
      </c>
    </row>
    <row r="33" spans="1:8" x14ac:dyDescent="0.25">
      <c r="A33" t="s">
        <v>73</v>
      </c>
      <c r="B33" t="s">
        <v>74</v>
      </c>
      <c r="C33" t="s">
        <v>15</v>
      </c>
      <c r="D33" s="1">
        <v>466.44</v>
      </c>
      <c r="E33" s="2">
        <v>3607.25</v>
      </c>
      <c r="F33" s="2">
        <f>D33*E33</f>
      </c>
      <c r="G33" s="2">
        <f>F33*0.16</f>
      </c>
      <c r="H33" s="2">
        <f>F33+G33</f>
      </c>
    </row>
    <row r="34" spans="1:8" x14ac:dyDescent="0.25">
      <c r="A34" t="s">
        <v>75</v>
      </c>
      <c r="B34" t="s">
        <v>76</v>
      </c>
      <c r="C34" t="s">
        <v>12</v>
      </c>
      <c r="D34" s="1">
        <v>317.04</v>
      </c>
      <c r="E34" s="2">
        <v>1224.8</v>
      </c>
      <c r="F34" s="2">
        <f>D34*E34</f>
      </c>
      <c r="G34" s="2">
        <f>F34*0.16</f>
      </c>
      <c r="H34" s="2">
        <f>F34+G34</f>
      </c>
    </row>
    <row r="35" spans="1:8" x14ac:dyDescent="0.25">
      <c r="A35" t="s">
        <v>77</v>
      </c>
      <c r="B35" t="s">
        <v>78</v>
      </c>
      <c r="C35" t="s">
        <v>18</v>
      </c>
      <c r="D35" s="1">
        <v>112.66</v>
      </c>
      <c r="E35" s="2">
        <v>1005.54</v>
      </c>
      <c r="F35" s="2">
        <f>D35*E35</f>
      </c>
      <c r="G35" s="2">
        <f>F35*0.16</f>
      </c>
      <c r="H35" s="2">
        <f>F35+G35</f>
      </c>
    </row>
    <row r="36" spans="1:8" x14ac:dyDescent="0.25">
      <c r="A36" t="s">
        <v>79</v>
      </c>
      <c r="B36" t="s">
        <v>80</v>
      </c>
      <c r="C36" t="s">
        <v>15</v>
      </c>
      <c r="D36" s="1">
        <v>371.88</v>
      </c>
      <c r="E36" s="2">
        <v>1444.02</v>
      </c>
      <c r="F36" s="2">
        <f>D36*E36</f>
      </c>
      <c r="G36" s="2">
        <f>F36*0.16</f>
      </c>
      <c r="H36" s="2">
        <f>F36+G36</f>
      </c>
    </row>
    <row r="37" spans="1:8" x14ac:dyDescent="0.25">
      <c r="A37" t="s">
        <v>81</v>
      </c>
      <c r="B37" t="s">
        <v>82</v>
      </c>
      <c r="C37" t="s">
        <v>23</v>
      </c>
      <c r="D37" s="1">
        <v>45.03</v>
      </c>
      <c r="E37" s="2">
        <v>850</v>
      </c>
      <c r="F37" s="2">
        <f>D37*E37</f>
      </c>
      <c r="G37" s="2">
        <f>F37*0.16</f>
      </c>
      <c r="H37" s="2">
        <f>F37+G37</f>
      </c>
    </row>
    <row r="38" spans="1:8" x14ac:dyDescent="0.25">
      <c r="A38" t="s">
        <v>83</v>
      </c>
      <c r="B38" t="s">
        <v>84</v>
      </c>
      <c r="C38" t="s">
        <v>23</v>
      </c>
      <c r="D38" s="1">
        <v>218.49</v>
      </c>
      <c r="E38" s="2">
        <v>4204.7</v>
      </c>
      <c r="F38" s="2">
        <f>D38*E38</f>
      </c>
      <c r="G38" s="2">
        <f>F38*0.16</f>
      </c>
      <c r="H38" s="2">
        <f>F38+G38</f>
      </c>
    </row>
    <row r="39" spans="1:8" x14ac:dyDescent="0.25">
      <c r="A39" t="s">
        <v>85</v>
      </c>
      <c r="B39" t="s">
        <v>86</v>
      </c>
      <c r="C39" t="s">
        <v>12</v>
      </c>
      <c r="D39" s="1">
        <v>343.62</v>
      </c>
      <c r="E39" s="2">
        <v>4692.22</v>
      </c>
      <c r="F39" s="2">
        <f>D39*E39</f>
      </c>
      <c r="G39" s="2">
        <f>F39*0.16</f>
      </c>
      <c r="H39" s="2">
        <f>F39+G39</f>
      </c>
    </row>
    <row r="40" spans="1:8" x14ac:dyDescent="0.25">
      <c r="A40" t="s">
        <v>87</v>
      </c>
      <c r="B40" t="s">
        <v>88</v>
      </c>
      <c r="C40" t="s">
        <v>23</v>
      </c>
      <c r="D40" s="1">
        <v>374.46</v>
      </c>
      <c r="E40" s="2">
        <v>3295.1</v>
      </c>
      <c r="F40" s="2">
        <f>D40*E40</f>
      </c>
      <c r="G40" s="2">
        <f>F40*0.16</f>
      </c>
      <c r="H40" s="2">
        <f>F40+G40</f>
      </c>
    </row>
    <row r="41" spans="1:8" x14ac:dyDescent="0.25">
      <c r="A41" t="s">
        <v>89</v>
      </c>
      <c r="B41" t="s">
        <v>90</v>
      </c>
      <c r="C41" t="s">
        <v>34</v>
      </c>
      <c r="D41" s="1">
        <v>232.81</v>
      </c>
      <c r="E41" s="2">
        <v>4246.28</v>
      </c>
      <c r="F41" s="2">
        <f>D41*E41</f>
      </c>
      <c r="G41" s="2">
        <f>F41*0.16</f>
      </c>
      <c r="H41" s="2">
        <f>F41+G41</f>
      </c>
    </row>
    <row r="42" spans="1:8" x14ac:dyDescent="0.25">
      <c r="A42" t="s">
        <v>91</v>
      </c>
      <c r="B42" t="s">
        <v>92</v>
      </c>
      <c r="C42" t="s">
        <v>23</v>
      </c>
      <c r="D42" s="1">
        <v>73.88</v>
      </c>
      <c r="E42" s="2">
        <v>4200.06</v>
      </c>
      <c r="F42" s="2">
        <f>D42*E42</f>
      </c>
      <c r="G42" s="2">
        <f>F42*0.16</f>
      </c>
      <c r="H42" s="2">
        <f>F42+G42</f>
      </c>
    </row>
    <row r="43" spans="1:8" x14ac:dyDescent="0.25">
      <c r="A43" t="s">
        <v>93</v>
      </c>
      <c r="B43" t="s">
        <v>94</v>
      </c>
      <c r="C43" t="s">
        <v>18</v>
      </c>
      <c r="D43" s="1">
        <v>479.71</v>
      </c>
      <c r="E43" s="2">
        <v>2352.36</v>
      </c>
      <c r="F43" s="2">
        <f>D43*E43</f>
      </c>
      <c r="G43" s="2">
        <f>F43*0.16</f>
      </c>
      <c r="H43" s="2">
        <f>F43+G43</f>
      </c>
    </row>
    <row r="44" spans="1:8" x14ac:dyDescent="0.25">
      <c r="A44" t="s">
        <v>95</v>
      </c>
      <c r="B44" t="s">
        <v>96</v>
      </c>
      <c r="C44" t="s">
        <v>12</v>
      </c>
      <c r="D44" s="1">
        <v>181.84</v>
      </c>
      <c r="E44" s="2">
        <v>2178.24</v>
      </c>
      <c r="F44" s="2">
        <f>D44*E44</f>
      </c>
      <c r="G44" s="2">
        <f>F44*0.16</f>
      </c>
      <c r="H44" s="2">
        <f>F44+G44</f>
      </c>
    </row>
    <row r="45" spans="1:8" x14ac:dyDescent="0.25">
      <c r="A45" t="s">
        <v>97</v>
      </c>
      <c r="B45" t="s">
        <v>98</v>
      </c>
      <c r="C45" t="s">
        <v>15</v>
      </c>
      <c r="D45" s="1">
        <v>260.12</v>
      </c>
      <c r="E45" s="2">
        <v>3040.54</v>
      </c>
      <c r="F45" s="2">
        <f>D45*E45</f>
      </c>
      <c r="G45" s="2">
        <f>F45*0.16</f>
      </c>
      <c r="H45" s="2">
        <f>F45+G45</f>
      </c>
    </row>
    <row r="46" spans="1:8" s="8" customFormat="1" x14ac:dyDescent="0.25">
      <c r="A46" s="8" t="s">
        <v>46</v>
      </c>
      <c r="B46" s="8" t="s">
        <v>99</v>
      </c>
      <c r="C46" s="8" t="s">
        <v>46</v>
      </c>
      <c r="D46" s="9" t="s">
        <v>46</v>
      </c>
      <c r="E46" s="10" t="s">
        <v>46</v>
      </c>
      <c r="F46" s="10">
        <f>SUM(F21:F45)</f>
      </c>
      <c r="G46" s="10">
        <f>SUM(G21:G45)</f>
      </c>
      <c r="H46" s="10">
        <f>SUM(H21:H45)</f>
      </c>
    </row>
    <row r="47" spans="1:8" x14ac:dyDescent="0.25">
      <c r="A47" s="7" t="s">
        <v>100</v>
      </c>
      <c r="B47" s="7"/>
      <c r="C47" s="7"/>
      <c r="D47" s="7"/>
      <c r="E47" s="7"/>
      <c r="F47" s="7"/>
      <c r="G47" s="7"/>
      <c r="H47" s="7"/>
    </row>
    <row r="48" spans="1:8" x14ac:dyDescent="0.25">
      <c r="A48" t="s">
        <v>101</v>
      </c>
      <c r="B48" t="s">
        <v>102</v>
      </c>
      <c r="C48" t="s">
        <v>23</v>
      </c>
      <c r="D48" s="1">
        <v>467.43</v>
      </c>
      <c r="E48" s="2">
        <v>1342.29</v>
      </c>
      <c r="F48" s="2">
        <f>D48*E48</f>
      </c>
      <c r="G48" s="2">
        <f>F48*0.16</f>
      </c>
      <c r="H48" s="2">
        <f>F48+G48</f>
      </c>
    </row>
    <row r="49" spans="1:8" x14ac:dyDescent="0.25">
      <c r="A49" t="s">
        <v>103</v>
      </c>
      <c r="B49" t="s">
        <v>104</v>
      </c>
      <c r="C49" t="s">
        <v>18</v>
      </c>
      <c r="D49" s="1">
        <v>85.23</v>
      </c>
      <c r="E49" s="2">
        <v>2960.99</v>
      </c>
      <c r="F49" s="2">
        <f>D49*E49</f>
      </c>
      <c r="G49" s="2">
        <f>F49*0.16</f>
      </c>
      <c r="H49" s="2">
        <f>F49+G49</f>
      </c>
    </row>
    <row r="50" spans="1:8" x14ac:dyDescent="0.25">
      <c r="A50" t="s">
        <v>105</v>
      </c>
      <c r="B50" t="s">
        <v>106</v>
      </c>
      <c r="C50" t="s">
        <v>12</v>
      </c>
      <c r="D50" s="1">
        <v>60.84</v>
      </c>
      <c r="E50" s="2">
        <v>427.56</v>
      </c>
      <c r="F50" s="2">
        <f>D50*E50</f>
      </c>
      <c r="G50" s="2">
        <f>F50*0.16</f>
      </c>
      <c r="H50" s="2">
        <f>F50+G50</f>
      </c>
    </row>
    <row r="51" spans="1:8" x14ac:dyDescent="0.25">
      <c r="A51" t="s">
        <v>107</v>
      </c>
      <c r="B51" t="s">
        <v>108</v>
      </c>
      <c r="C51" t="s">
        <v>41</v>
      </c>
      <c r="D51" s="1">
        <v>89.14</v>
      </c>
      <c r="E51" s="2">
        <v>2196.78</v>
      </c>
      <c r="F51" s="2">
        <f>D51*E51</f>
      </c>
      <c r="G51" s="2">
        <f>F51*0.16</f>
      </c>
      <c r="H51" s="2">
        <f>F51+G51</f>
      </c>
    </row>
    <row r="52" spans="1:8" x14ac:dyDescent="0.25">
      <c r="A52" t="s">
        <v>109</v>
      </c>
      <c r="B52" t="s">
        <v>110</v>
      </c>
      <c r="C52" t="s">
        <v>23</v>
      </c>
      <c r="D52" s="1">
        <v>426.37</v>
      </c>
      <c r="E52" s="2">
        <v>1764.33</v>
      </c>
      <c r="F52" s="2">
        <f>D52*E52</f>
      </c>
      <c r="G52" s="2">
        <f>F52*0.16</f>
      </c>
      <c r="H52" s="2">
        <f>F52+G52</f>
      </c>
    </row>
    <row r="53" spans="1:8" x14ac:dyDescent="0.25">
      <c r="A53" t="s">
        <v>111</v>
      </c>
      <c r="B53" t="s">
        <v>112</v>
      </c>
      <c r="C53" t="s">
        <v>41</v>
      </c>
      <c r="D53" s="1">
        <v>389.27</v>
      </c>
      <c r="E53" s="2">
        <v>1607.16</v>
      </c>
      <c r="F53" s="2">
        <f>D53*E53</f>
      </c>
      <c r="G53" s="2">
        <f>F53*0.16</f>
      </c>
      <c r="H53" s="2">
        <f>F53+G53</f>
      </c>
    </row>
    <row r="54" spans="1:8" x14ac:dyDescent="0.25">
      <c r="A54" t="s">
        <v>113</v>
      </c>
      <c r="B54" t="s">
        <v>114</v>
      </c>
      <c r="C54" t="s">
        <v>41</v>
      </c>
      <c r="D54" s="1">
        <v>224.32</v>
      </c>
      <c r="E54" s="2">
        <v>2090.88</v>
      </c>
      <c r="F54" s="2">
        <f>D54*E54</f>
      </c>
      <c r="G54" s="2">
        <f>F54*0.16</f>
      </c>
      <c r="H54" s="2">
        <f>F54+G54</f>
      </c>
    </row>
    <row r="55" spans="1:8" x14ac:dyDescent="0.25">
      <c r="A55" t="s">
        <v>115</v>
      </c>
      <c r="B55" t="s">
        <v>116</v>
      </c>
      <c r="C55" t="s">
        <v>18</v>
      </c>
      <c r="D55" s="1">
        <v>52.68</v>
      </c>
      <c r="E55" s="2">
        <v>4758.37</v>
      </c>
      <c r="F55" s="2">
        <f>D55*E55</f>
      </c>
      <c r="G55" s="2">
        <f>F55*0.16</f>
      </c>
      <c r="H55" s="2">
        <f>F55+G55</f>
      </c>
    </row>
    <row r="56" spans="1:8" x14ac:dyDescent="0.25">
      <c r="A56" t="s">
        <v>117</v>
      </c>
      <c r="B56" t="s">
        <v>118</v>
      </c>
      <c r="C56" t="s">
        <v>34</v>
      </c>
      <c r="D56" s="1">
        <v>351.88</v>
      </c>
      <c r="E56" s="2">
        <v>3985.51</v>
      </c>
      <c r="F56" s="2">
        <f>D56*E56</f>
      </c>
      <c r="G56" s="2">
        <f>F56*0.16</f>
      </c>
      <c r="H56" s="2">
        <f>F56+G56</f>
      </c>
    </row>
    <row r="57" spans="1:8" x14ac:dyDescent="0.25">
      <c r="A57" t="s">
        <v>119</v>
      </c>
      <c r="B57" t="s">
        <v>120</v>
      </c>
      <c r="C57" t="s">
        <v>15</v>
      </c>
      <c r="D57" s="1">
        <v>338.55</v>
      </c>
      <c r="E57" s="2">
        <v>3002.81</v>
      </c>
      <c r="F57" s="2">
        <f>D57*E57</f>
      </c>
      <c r="G57" s="2">
        <f>F57*0.16</f>
      </c>
      <c r="H57" s="2">
        <f>F57+G57</f>
      </c>
    </row>
    <row r="58" spans="1:8" x14ac:dyDescent="0.25">
      <c r="A58" t="s">
        <v>121</v>
      </c>
      <c r="B58" t="s">
        <v>122</v>
      </c>
      <c r="C58" t="s">
        <v>18</v>
      </c>
      <c r="D58" s="1">
        <v>9.51</v>
      </c>
      <c r="E58" s="2">
        <v>3880.76</v>
      </c>
      <c r="F58" s="2">
        <f>D58*E58</f>
      </c>
      <c r="G58" s="2">
        <f>F58*0.16</f>
      </c>
      <c r="H58" s="2">
        <f>F58+G58</f>
      </c>
    </row>
    <row r="59" spans="1:8" x14ac:dyDescent="0.25">
      <c r="A59" t="s">
        <v>123</v>
      </c>
      <c r="B59" t="s">
        <v>124</v>
      </c>
      <c r="C59" t="s">
        <v>12</v>
      </c>
      <c r="D59" s="1">
        <v>113</v>
      </c>
      <c r="E59" s="2">
        <v>2655</v>
      </c>
      <c r="F59" s="2">
        <f>D59*E59</f>
      </c>
      <c r="G59" s="2">
        <f>F59*0.16</f>
      </c>
      <c r="H59" s="2">
        <f>F59+G59</f>
      </c>
    </row>
    <row r="60" spans="1:8" x14ac:dyDescent="0.25">
      <c r="A60" t="s">
        <v>125</v>
      </c>
      <c r="B60" t="s">
        <v>126</v>
      </c>
      <c r="C60" t="s">
        <v>15</v>
      </c>
      <c r="D60" s="1">
        <v>443.64</v>
      </c>
      <c r="E60" s="2">
        <v>4523.02</v>
      </c>
      <c r="F60" s="2">
        <f>D60*E60</f>
      </c>
      <c r="G60" s="2">
        <f>F60*0.16</f>
      </c>
      <c r="H60" s="2">
        <f>F60+G60</f>
      </c>
    </row>
    <row r="61" spans="1:8" x14ac:dyDescent="0.25">
      <c r="A61" t="s">
        <v>127</v>
      </c>
      <c r="B61" t="s">
        <v>128</v>
      </c>
      <c r="C61" t="s">
        <v>18</v>
      </c>
      <c r="D61" s="1">
        <v>419.58</v>
      </c>
      <c r="E61" s="2">
        <v>2569.86</v>
      </c>
      <c r="F61" s="2">
        <f>D61*E61</f>
      </c>
      <c r="G61" s="2">
        <f>F61*0.16</f>
      </c>
      <c r="H61" s="2">
        <f>F61+G61</f>
      </c>
    </row>
    <row r="62" spans="1:8" x14ac:dyDescent="0.25">
      <c r="A62" t="s">
        <v>129</v>
      </c>
      <c r="B62" t="s">
        <v>130</v>
      </c>
      <c r="C62" t="s">
        <v>41</v>
      </c>
      <c r="D62" s="1">
        <v>332.65</v>
      </c>
      <c r="E62" s="2">
        <v>4057.95</v>
      </c>
      <c r="F62" s="2">
        <f>D62*E62</f>
      </c>
      <c r="G62" s="2">
        <f>F62*0.16</f>
      </c>
      <c r="H62" s="2">
        <f>F62+G62</f>
      </c>
    </row>
    <row r="63" spans="1:8" x14ac:dyDescent="0.25">
      <c r="A63" t="s">
        <v>131</v>
      </c>
      <c r="B63" t="s">
        <v>132</v>
      </c>
      <c r="C63" t="s">
        <v>15</v>
      </c>
      <c r="D63" s="1">
        <v>145.75</v>
      </c>
      <c r="E63" s="2">
        <v>1890.7</v>
      </c>
      <c r="F63" s="2">
        <f>D63*E63</f>
      </c>
      <c r="G63" s="2">
        <f>F63*0.16</f>
      </c>
      <c r="H63" s="2">
        <f>F63+G63</f>
      </c>
    </row>
    <row r="64" spans="1:8" x14ac:dyDescent="0.25">
      <c r="A64" t="s">
        <v>133</v>
      </c>
      <c r="B64" t="s">
        <v>134</v>
      </c>
      <c r="C64" t="s">
        <v>12</v>
      </c>
      <c r="D64" s="1">
        <v>124.04</v>
      </c>
      <c r="E64" s="2">
        <v>2006.09</v>
      </c>
      <c r="F64" s="2">
        <f>D64*E64</f>
      </c>
      <c r="G64" s="2">
        <f>F64*0.16</f>
      </c>
      <c r="H64" s="2">
        <f>F64+G64</f>
      </c>
    </row>
    <row r="65" spans="1:8" x14ac:dyDescent="0.25">
      <c r="A65" t="s">
        <v>135</v>
      </c>
      <c r="B65" t="s">
        <v>136</v>
      </c>
      <c r="C65" t="s">
        <v>41</v>
      </c>
      <c r="D65" s="1">
        <v>82.42</v>
      </c>
      <c r="E65" s="2">
        <v>4236.35</v>
      </c>
      <c r="F65" s="2">
        <f>D65*E65</f>
      </c>
      <c r="G65" s="2">
        <f>F65*0.16</f>
      </c>
      <c r="H65" s="2">
        <f>F65+G65</f>
      </c>
    </row>
    <row r="66" spans="1:8" x14ac:dyDescent="0.25">
      <c r="A66" t="s">
        <v>137</v>
      </c>
      <c r="B66" t="s">
        <v>138</v>
      </c>
      <c r="C66" t="s">
        <v>15</v>
      </c>
      <c r="D66" s="1">
        <v>259.6</v>
      </c>
      <c r="E66" s="2">
        <v>2442.75</v>
      </c>
      <c r="F66" s="2">
        <f>D66*E66</f>
      </c>
      <c r="G66" s="2">
        <f>F66*0.16</f>
      </c>
      <c r="H66" s="2">
        <f>F66+G66</f>
      </c>
    </row>
    <row r="67" spans="1:8" x14ac:dyDescent="0.25">
      <c r="A67" t="s">
        <v>139</v>
      </c>
      <c r="B67" t="s">
        <v>140</v>
      </c>
      <c r="C67" t="s">
        <v>12</v>
      </c>
      <c r="D67" s="1">
        <v>14.93</v>
      </c>
      <c r="E67" s="2">
        <v>3241.12</v>
      </c>
      <c r="F67" s="2">
        <f>D67*E67</f>
      </c>
      <c r="G67" s="2">
        <f>F67*0.16</f>
      </c>
      <c r="H67" s="2">
        <f>F67+G67</f>
      </c>
    </row>
    <row r="68" spans="1:8" x14ac:dyDescent="0.25">
      <c r="A68" t="s">
        <v>141</v>
      </c>
      <c r="B68" t="s">
        <v>142</v>
      </c>
      <c r="C68" t="s">
        <v>12</v>
      </c>
      <c r="D68" s="1">
        <v>219.3</v>
      </c>
      <c r="E68" s="2">
        <v>2990.47</v>
      </c>
      <c r="F68" s="2">
        <f>D68*E68</f>
      </c>
      <c r="G68" s="2">
        <f>F68*0.16</f>
      </c>
      <c r="H68" s="2">
        <f>F68+G68</f>
      </c>
    </row>
    <row r="69" spans="1:8" x14ac:dyDescent="0.25">
      <c r="A69" t="s">
        <v>143</v>
      </c>
      <c r="B69" t="s">
        <v>144</v>
      </c>
      <c r="C69" t="s">
        <v>12</v>
      </c>
      <c r="D69" s="1">
        <v>269.87</v>
      </c>
      <c r="E69" s="2">
        <v>4482.14</v>
      </c>
      <c r="F69" s="2">
        <f>D69*E69</f>
      </c>
      <c r="G69" s="2">
        <f>F69*0.16</f>
      </c>
      <c r="H69" s="2">
        <f>F69+G69</f>
      </c>
    </row>
    <row r="70" spans="1:8" x14ac:dyDescent="0.25">
      <c r="A70" t="s">
        <v>145</v>
      </c>
      <c r="B70" t="s">
        <v>146</v>
      </c>
      <c r="C70" t="s">
        <v>18</v>
      </c>
      <c r="D70" s="1">
        <v>1.32</v>
      </c>
      <c r="E70" s="2">
        <v>91.72</v>
      </c>
      <c r="F70" s="2">
        <f>D70*E70</f>
      </c>
      <c r="G70" s="2">
        <f>F70*0.16</f>
      </c>
      <c r="H70" s="2">
        <f>F70+G70</f>
      </c>
    </row>
    <row r="71" spans="1:8" x14ac:dyDescent="0.25">
      <c r="A71" t="s">
        <v>147</v>
      </c>
      <c r="B71" t="s">
        <v>148</v>
      </c>
      <c r="C71" t="s">
        <v>15</v>
      </c>
      <c r="D71" s="1">
        <v>87.25</v>
      </c>
      <c r="E71" s="2">
        <v>239.34</v>
      </c>
      <c r="F71" s="2">
        <f>D71*E71</f>
      </c>
      <c r="G71" s="2">
        <f>F71*0.16</f>
      </c>
      <c r="H71" s="2">
        <f>F71+G71</f>
      </c>
    </row>
    <row r="72" spans="1:8" x14ac:dyDescent="0.25">
      <c r="A72" t="s">
        <v>149</v>
      </c>
      <c r="B72" t="s">
        <v>150</v>
      </c>
      <c r="C72" t="s">
        <v>12</v>
      </c>
      <c r="D72" s="1">
        <v>329.4</v>
      </c>
      <c r="E72" s="2">
        <v>2321.87</v>
      </c>
      <c r="F72" s="2">
        <f>D72*E72</f>
      </c>
      <c r="G72" s="2">
        <f>F72*0.16</f>
      </c>
      <c r="H72" s="2">
        <f>F72+G72</f>
      </c>
    </row>
    <row r="73" spans="1:8" x14ac:dyDescent="0.25">
      <c r="A73" t="s">
        <v>151</v>
      </c>
      <c r="B73" t="s">
        <v>152</v>
      </c>
      <c r="C73" t="s">
        <v>12</v>
      </c>
      <c r="D73" s="1">
        <v>405.53</v>
      </c>
      <c r="E73" s="2">
        <v>3049.33</v>
      </c>
      <c r="F73" s="2">
        <f>D73*E73</f>
      </c>
      <c r="G73" s="2">
        <f>F73*0.16</f>
      </c>
      <c r="H73" s="2">
        <f>F73+G73</f>
      </c>
    </row>
    <row r="74" spans="1:8" x14ac:dyDescent="0.25">
      <c r="A74" t="s">
        <v>153</v>
      </c>
      <c r="B74" t="s">
        <v>154</v>
      </c>
      <c r="C74" t="s">
        <v>23</v>
      </c>
      <c r="D74" s="1">
        <v>106</v>
      </c>
      <c r="E74" s="2">
        <v>2716.73</v>
      </c>
      <c r="F74" s="2">
        <f>D74*E74</f>
      </c>
      <c r="G74" s="2">
        <f>F74*0.16</f>
      </c>
      <c r="H74" s="2">
        <f>F74+G74</f>
      </c>
    </row>
    <row r="75" spans="1:8" x14ac:dyDescent="0.25">
      <c r="A75" t="s">
        <v>155</v>
      </c>
      <c r="B75" t="s">
        <v>156</v>
      </c>
      <c r="C75" t="s">
        <v>34</v>
      </c>
      <c r="D75" s="1">
        <v>120.78</v>
      </c>
      <c r="E75" s="2">
        <v>4369.53</v>
      </c>
      <c r="F75" s="2">
        <f>D75*E75</f>
      </c>
      <c r="G75" s="2">
        <f>F75*0.16</f>
      </c>
      <c r="H75" s="2">
        <f>F75+G75</f>
      </c>
    </row>
    <row r="76" spans="1:8" x14ac:dyDescent="0.25">
      <c r="A76" t="s">
        <v>157</v>
      </c>
      <c r="B76" t="s">
        <v>158</v>
      </c>
      <c r="C76" t="s">
        <v>34</v>
      </c>
      <c r="D76" s="1">
        <v>382.52</v>
      </c>
      <c r="E76" s="2">
        <v>3366.32</v>
      </c>
      <c r="F76" s="2">
        <f>D76*E76</f>
      </c>
      <c r="G76" s="2">
        <f>F76*0.16</f>
      </c>
      <c r="H76" s="2">
        <f>F76+G76</f>
      </c>
    </row>
    <row r="77" spans="1:8" x14ac:dyDescent="0.25">
      <c r="A77" t="s">
        <v>159</v>
      </c>
      <c r="B77" t="s">
        <v>160</v>
      </c>
      <c r="C77" t="s">
        <v>23</v>
      </c>
      <c r="D77" s="1">
        <v>146.52</v>
      </c>
      <c r="E77" s="2">
        <v>2854.87</v>
      </c>
      <c r="F77" s="2">
        <f>D77*E77</f>
      </c>
      <c r="G77" s="2">
        <f>F77*0.16</f>
      </c>
      <c r="H77" s="2">
        <f>F77+G77</f>
      </c>
    </row>
    <row r="78" spans="1:8" x14ac:dyDescent="0.25">
      <c r="A78" t="s">
        <v>161</v>
      </c>
      <c r="B78" t="s">
        <v>162</v>
      </c>
      <c r="C78" t="s">
        <v>18</v>
      </c>
      <c r="D78" s="1">
        <v>244.81</v>
      </c>
      <c r="E78" s="2">
        <v>442.72</v>
      </c>
      <c r="F78" s="2">
        <f>D78*E78</f>
      </c>
      <c r="G78" s="2">
        <f>F78*0.16</f>
      </c>
      <c r="H78" s="2">
        <f>F78+G78</f>
      </c>
    </row>
    <row r="79" spans="1:8" x14ac:dyDescent="0.25">
      <c r="A79" t="s">
        <v>163</v>
      </c>
      <c r="B79" t="s">
        <v>164</v>
      </c>
      <c r="C79" t="s">
        <v>23</v>
      </c>
      <c r="D79" s="1">
        <v>405.87</v>
      </c>
      <c r="E79" s="2">
        <v>4469.59</v>
      </c>
      <c r="F79" s="2">
        <f>D79*E79</f>
      </c>
      <c r="G79" s="2">
        <f>F79*0.16</f>
      </c>
      <c r="H79" s="2">
        <f>F79+G79</f>
      </c>
    </row>
    <row r="80" spans="1:8" x14ac:dyDescent="0.25">
      <c r="A80" t="s">
        <v>165</v>
      </c>
      <c r="B80" t="s">
        <v>166</v>
      </c>
      <c r="C80" t="s">
        <v>12</v>
      </c>
      <c r="D80" s="1">
        <v>488.35</v>
      </c>
      <c r="E80" s="2">
        <v>3472.93</v>
      </c>
      <c r="F80" s="2">
        <f>D80*E80</f>
      </c>
      <c r="G80" s="2">
        <f>F80*0.16</f>
      </c>
      <c r="H80" s="2">
        <f>F80+G80</f>
      </c>
    </row>
    <row r="81" spans="1:8" x14ac:dyDescent="0.25">
      <c r="A81" t="s">
        <v>167</v>
      </c>
      <c r="B81" t="s">
        <v>168</v>
      </c>
      <c r="C81" t="s">
        <v>23</v>
      </c>
      <c r="D81" s="1">
        <v>110.18</v>
      </c>
      <c r="E81" s="2">
        <v>1537.16</v>
      </c>
      <c r="F81" s="2">
        <f>D81*E81</f>
      </c>
      <c r="G81" s="2">
        <f>F81*0.16</f>
      </c>
      <c r="H81" s="2">
        <f>F81+G81</f>
      </c>
    </row>
    <row r="82" spans="1:8" x14ac:dyDescent="0.25">
      <c r="A82" t="s">
        <v>169</v>
      </c>
      <c r="B82" t="s">
        <v>170</v>
      </c>
      <c r="C82" t="s">
        <v>12</v>
      </c>
      <c r="D82" s="1">
        <v>398.07</v>
      </c>
      <c r="E82" s="2">
        <v>3266.9</v>
      </c>
      <c r="F82" s="2">
        <f>D82*E82</f>
      </c>
      <c r="G82" s="2">
        <f>F82*0.16</f>
      </c>
      <c r="H82" s="2">
        <f>F82+G82</f>
      </c>
    </row>
    <row r="83" spans="1:8" x14ac:dyDescent="0.25">
      <c r="A83" t="s">
        <v>171</v>
      </c>
      <c r="B83" t="s">
        <v>172</v>
      </c>
      <c r="C83" t="s">
        <v>34</v>
      </c>
      <c r="D83" s="1">
        <v>450.06</v>
      </c>
      <c r="E83" s="2">
        <v>3084.76</v>
      </c>
      <c r="F83" s="2">
        <f>D83*E83</f>
      </c>
      <c r="G83" s="2">
        <f>F83*0.16</f>
      </c>
      <c r="H83" s="2">
        <f>F83+G83</f>
      </c>
    </row>
    <row r="84" spans="1:8" x14ac:dyDescent="0.25">
      <c r="A84" t="s">
        <v>173</v>
      </c>
      <c r="B84" t="s">
        <v>174</v>
      </c>
      <c r="C84" t="s">
        <v>34</v>
      </c>
      <c r="D84" s="1">
        <v>146.72</v>
      </c>
      <c r="E84" s="2">
        <v>2422.38</v>
      </c>
      <c r="F84" s="2">
        <f>D84*E84</f>
      </c>
      <c r="G84" s="2">
        <f>F84*0.16</f>
      </c>
      <c r="H84" s="2">
        <f>F84+G84</f>
      </c>
    </row>
    <row r="85" spans="1:8" x14ac:dyDescent="0.25">
      <c r="A85" t="s">
        <v>175</v>
      </c>
      <c r="B85" t="s">
        <v>176</v>
      </c>
      <c r="C85" t="s">
        <v>18</v>
      </c>
      <c r="D85" s="1">
        <v>234.97</v>
      </c>
      <c r="E85" s="2">
        <v>3521.04</v>
      </c>
      <c r="F85" s="2">
        <f>D85*E85</f>
      </c>
      <c r="G85" s="2">
        <f>F85*0.16</f>
      </c>
      <c r="H85" s="2">
        <f>F85+G85</f>
      </c>
    </row>
    <row r="86" spans="1:8" x14ac:dyDescent="0.25">
      <c r="A86" t="s">
        <v>177</v>
      </c>
      <c r="B86" t="s">
        <v>178</v>
      </c>
      <c r="C86" t="s">
        <v>34</v>
      </c>
      <c r="D86" s="1">
        <v>61.84</v>
      </c>
      <c r="E86" s="2">
        <v>4320.37</v>
      </c>
      <c r="F86" s="2">
        <f>D86*E86</f>
      </c>
      <c r="G86" s="2">
        <f>F86*0.16</f>
      </c>
      <c r="H86" s="2">
        <f>F86+G86</f>
      </c>
    </row>
    <row r="87" spans="1:8" x14ac:dyDescent="0.25">
      <c r="A87" t="s">
        <v>179</v>
      </c>
      <c r="B87" t="s">
        <v>180</v>
      </c>
      <c r="C87" t="s">
        <v>23</v>
      </c>
      <c r="D87" s="1">
        <v>180.61</v>
      </c>
      <c r="E87" s="2">
        <v>3340.06</v>
      </c>
      <c r="F87" s="2">
        <f>D87*E87</f>
      </c>
      <c r="G87" s="2">
        <f>F87*0.16</f>
      </c>
      <c r="H87" s="2">
        <f>F87+G87</f>
      </c>
    </row>
    <row r="88" spans="1:8" s="8" customFormat="1" x14ac:dyDescent="0.25">
      <c r="A88" s="8" t="s">
        <v>46</v>
      </c>
      <c r="B88" s="8" t="s">
        <v>181</v>
      </c>
      <c r="C88" s="8" t="s">
        <v>46</v>
      </c>
      <c r="D88" s="9" t="s">
        <v>46</v>
      </c>
      <c r="E88" s="10" t="s">
        <v>46</v>
      </c>
      <c r="F88" s="10">
        <f>SUM(F48:F87)</f>
      </c>
      <c r="G88" s="10">
        <f>SUM(G48:G87)</f>
      </c>
      <c r="H88" s="10">
        <f>SUM(H48:H87)</f>
      </c>
    </row>
    <row r="89" spans="1:8" x14ac:dyDescent="0.25">
      <c r="A89" s="7" t="s">
        <v>182</v>
      </c>
      <c r="B89" s="7"/>
      <c r="C89" s="7"/>
      <c r="D89" s="7"/>
      <c r="E89" s="7"/>
      <c r="F89" s="7"/>
      <c r="G89" s="7"/>
      <c r="H89" s="7"/>
    </row>
    <row r="90" spans="1:8" x14ac:dyDescent="0.25">
      <c r="A90" t="s">
        <v>183</v>
      </c>
      <c r="B90" t="s">
        <v>184</v>
      </c>
      <c r="C90" t="s">
        <v>15</v>
      </c>
      <c r="D90" s="1">
        <v>446.33</v>
      </c>
      <c r="E90" s="2">
        <v>4994.29</v>
      </c>
      <c r="F90" s="2">
        <f>D90*E90</f>
      </c>
      <c r="G90" s="2">
        <f>F90*0.16</f>
      </c>
      <c r="H90" s="2">
        <f>F90+G90</f>
      </c>
    </row>
    <row r="91" spans="1:8" x14ac:dyDescent="0.25">
      <c r="A91" t="s">
        <v>185</v>
      </c>
      <c r="B91" t="s">
        <v>186</v>
      </c>
      <c r="C91" t="s">
        <v>18</v>
      </c>
      <c r="D91" s="1">
        <v>355.42</v>
      </c>
      <c r="E91" s="2">
        <v>70.48</v>
      </c>
      <c r="F91" s="2">
        <f>D91*E91</f>
      </c>
      <c r="G91" s="2">
        <f>F91*0.16</f>
      </c>
      <c r="H91" s="2">
        <f>F91+G91</f>
      </c>
    </row>
    <row r="92" spans="1:8" x14ac:dyDescent="0.25">
      <c r="A92" t="s">
        <v>187</v>
      </c>
      <c r="B92" t="s">
        <v>188</v>
      </c>
      <c r="C92" t="s">
        <v>15</v>
      </c>
      <c r="D92" s="1">
        <v>324.57</v>
      </c>
      <c r="E92" s="2">
        <v>4436.7</v>
      </c>
      <c r="F92" s="2">
        <f>D92*E92</f>
      </c>
      <c r="G92" s="2">
        <f>F92*0.16</f>
      </c>
      <c r="H92" s="2">
        <f>F92+G92</f>
      </c>
    </row>
    <row r="93" spans="1:8" x14ac:dyDescent="0.25">
      <c r="A93" t="s">
        <v>189</v>
      </c>
      <c r="B93" t="s">
        <v>190</v>
      </c>
      <c r="C93" t="s">
        <v>34</v>
      </c>
      <c r="D93" s="1">
        <v>184.84</v>
      </c>
      <c r="E93" s="2">
        <v>1460.78</v>
      </c>
      <c r="F93" s="2">
        <f>D93*E93</f>
      </c>
      <c r="G93" s="2">
        <f>F93*0.16</f>
      </c>
      <c r="H93" s="2">
        <f>F93+G93</f>
      </c>
    </row>
    <row r="94" spans="1:8" x14ac:dyDescent="0.25">
      <c r="A94" t="s">
        <v>191</v>
      </c>
      <c r="B94" t="s">
        <v>192</v>
      </c>
      <c r="C94" t="s">
        <v>15</v>
      </c>
      <c r="D94" s="1">
        <v>382.09</v>
      </c>
      <c r="E94" s="2">
        <v>2182.43</v>
      </c>
      <c r="F94" s="2">
        <f>D94*E94</f>
      </c>
      <c r="G94" s="2">
        <f>F94*0.16</f>
      </c>
      <c r="H94" s="2">
        <f>F94+G94</f>
      </c>
    </row>
    <row r="95" spans="1:8" x14ac:dyDescent="0.25">
      <c r="A95" t="s">
        <v>193</v>
      </c>
      <c r="B95" t="s">
        <v>194</v>
      </c>
      <c r="C95" t="s">
        <v>34</v>
      </c>
      <c r="D95" s="1">
        <v>306.36</v>
      </c>
      <c r="E95" s="2">
        <v>3373.74</v>
      </c>
      <c r="F95" s="2">
        <f>D95*E95</f>
      </c>
      <c r="G95" s="2">
        <f>F95*0.16</f>
      </c>
      <c r="H95" s="2">
        <f>F95+G95</f>
      </c>
    </row>
    <row r="96" spans="1:8" x14ac:dyDescent="0.25">
      <c r="A96" t="s">
        <v>195</v>
      </c>
      <c r="B96" t="s">
        <v>196</v>
      </c>
      <c r="C96" t="s">
        <v>15</v>
      </c>
      <c r="D96" s="1">
        <v>106.43</v>
      </c>
      <c r="E96" s="2">
        <v>4091.24</v>
      </c>
      <c r="F96" s="2">
        <f>D96*E96</f>
      </c>
      <c r="G96" s="2">
        <f>F96*0.16</f>
      </c>
      <c r="H96" s="2">
        <f>F96+G96</f>
      </c>
    </row>
    <row r="97" spans="1:8" x14ac:dyDescent="0.25">
      <c r="A97" t="s">
        <v>197</v>
      </c>
      <c r="B97" t="s">
        <v>198</v>
      </c>
      <c r="C97" t="s">
        <v>41</v>
      </c>
      <c r="D97" s="1">
        <v>334.6</v>
      </c>
      <c r="E97" s="2">
        <v>3475.52</v>
      </c>
      <c r="F97" s="2">
        <f>D97*E97</f>
      </c>
      <c r="G97" s="2">
        <f>F97*0.16</f>
      </c>
      <c r="H97" s="2">
        <f>F97+G97</f>
      </c>
    </row>
    <row r="98" spans="1:8" x14ac:dyDescent="0.25">
      <c r="A98" t="s">
        <v>199</v>
      </c>
      <c r="B98" t="s">
        <v>200</v>
      </c>
      <c r="C98" t="s">
        <v>23</v>
      </c>
      <c r="D98" s="1">
        <v>260.61</v>
      </c>
      <c r="E98" s="2">
        <v>516.83</v>
      </c>
      <c r="F98" s="2">
        <f>D98*E98</f>
      </c>
      <c r="G98" s="2">
        <f>F98*0.16</f>
      </c>
      <c r="H98" s="2">
        <f>F98+G98</f>
      </c>
    </row>
    <row r="99" spans="1:8" x14ac:dyDescent="0.25">
      <c r="A99" t="s">
        <v>201</v>
      </c>
      <c r="B99" t="s">
        <v>202</v>
      </c>
      <c r="C99" t="s">
        <v>41</v>
      </c>
      <c r="D99" s="1">
        <v>85.43</v>
      </c>
      <c r="E99" s="2">
        <v>4116.04</v>
      </c>
      <c r="F99" s="2">
        <f>D99*E99</f>
      </c>
      <c r="G99" s="2">
        <f>F99*0.16</f>
      </c>
      <c r="H99" s="2">
        <f>F99+G99</f>
      </c>
    </row>
    <row r="100" spans="1:8" x14ac:dyDescent="0.25">
      <c r="A100" t="s">
        <v>203</v>
      </c>
      <c r="B100" t="s">
        <v>204</v>
      </c>
      <c r="C100" t="s">
        <v>23</v>
      </c>
      <c r="D100" s="1">
        <v>294.35</v>
      </c>
      <c r="E100" s="2">
        <v>3042.56</v>
      </c>
      <c r="F100" s="2">
        <f>D100*E100</f>
      </c>
      <c r="G100" s="2">
        <f>F100*0.16</f>
      </c>
      <c r="H100" s="2">
        <f>F100+G100</f>
      </c>
    </row>
    <row r="101" spans="1:8" x14ac:dyDescent="0.25">
      <c r="A101" t="s">
        <v>205</v>
      </c>
      <c r="B101" t="s">
        <v>206</v>
      </c>
      <c r="C101" t="s">
        <v>18</v>
      </c>
      <c r="D101" s="1">
        <v>480.45</v>
      </c>
      <c r="E101" s="2">
        <v>1109.96</v>
      </c>
      <c r="F101" s="2">
        <f>D101*E101</f>
      </c>
      <c r="G101" s="2">
        <f>F101*0.16</f>
      </c>
      <c r="H101" s="2">
        <f>F101+G101</f>
      </c>
    </row>
    <row r="102" spans="1:8" x14ac:dyDescent="0.25">
      <c r="A102" t="s">
        <v>207</v>
      </c>
      <c r="B102" t="s">
        <v>208</v>
      </c>
      <c r="C102" t="s">
        <v>18</v>
      </c>
      <c r="D102" s="1">
        <v>257.68</v>
      </c>
      <c r="E102" s="2">
        <v>4032.85</v>
      </c>
      <c r="F102" s="2">
        <f>D102*E102</f>
      </c>
      <c r="G102" s="2">
        <f>F102*0.16</f>
      </c>
      <c r="H102" s="2">
        <f>F102+G102</f>
      </c>
    </row>
    <row r="103" spans="1:8" x14ac:dyDescent="0.25">
      <c r="A103" t="s">
        <v>209</v>
      </c>
      <c r="B103" t="s">
        <v>210</v>
      </c>
      <c r="C103" t="s">
        <v>12</v>
      </c>
      <c r="D103" s="1">
        <v>346.19</v>
      </c>
      <c r="E103" s="2">
        <v>4496.17</v>
      </c>
      <c r="F103" s="2">
        <f>D103*E103</f>
      </c>
      <c r="G103" s="2">
        <f>F103*0.16</f>
      </c>
      <c r="H103" s="2">
        <f>F103+G103</f>
      </c>
    </row>
    <row r="104" spans="1:8" x14ac:dyDescent="0.25">
      <c r="A104" t="s">
        <v>211</v>
      </c>
      <c r="B104" t="s">
        <v>212</v>
      </c>
      <c r="C104" t="s">
        <v>18</v>
      </c>
      <c r="D104" s="1">
        <v>33.51</v>
      </c>
      <c r="E104" s="2">
        <v>2065.17</v>
      </c>
      <c r="F104" s="2">
        <f>D104*E104</f>
      </c>
      <c r="G104" s="2">
        <f>F104*0.16</f>
      </c>
      <c r="H104" s="2">
        <f>F104+G104</f>
      </c>
    </row>
    <row r="105" spans="1:8" x14ac:dyDescent="0.25">
      <c r="A105" t="s">
        <v>213</v>
      </c>
      <c r="B105" t="s">
        <v>214</v>
      </c>
      <c r="C105" t="s">
        <v>15</v>
      </c>
      <c r="D105" s="1">
        <v>46.16</v>
      </c>
      <c r="E105" s="2">
        <v>3648.87</v>
      </c>
      <c r="F105" s="2">
        <f>D105*E105</f>
      </c>
      <c r="G105" s="2">
        <f>F105*0.16</f>
      </c>
      <c r="H105" s="2">
        <f>F105+G105</f>
      </c>
    </row>
    <row r="106" spans="1:8" x14ac:dyDescent="0.25">
      <c r="A106" t="s">
        <v>215</v>
      </c>
      <c r="B106" t="s">
        <v>216</v>
      </c>
      <c r="C106" t="s">
        <v>41</v>
      </c>
      <c r="D106" s="1">
        <v>28.65</v>
      </c>
      <c r="E106" s="2">
        <v>3147.31</v>
      </c>
      <c r="F106" s="2">
        <f>D106*E106</f>
      </c>
      <c r="G106" s="2">
        <f>F106*0.16</f>
      </c>
      <c r="H106" s="2">
        <f>F106+G106</f>
      </c>
    </row>
    <row r="107" spans="1:8" x14ac:dyDescent="0.25">
      <c r="A107" t="s">
        <v>217</v>
      </c>
      <c r="B107" t="s">
        <v>218</v>
      </c>
      <c r="C107" t="s">
        <v>23</v>
      </c>
      <c r="D107" s="1">
        <v>10.84</v>
      </c>
      <c r="E107" s="2">
        <v>4504.84</v>
      </c>
      <c r="F107" s="2">
        <f>D107*E107</f>
      </c>
      <c r="G107" s="2">
        <f>F107*0.16</f>
      </c>
      <c r="H107" s="2">
        <f>F107+G107</f>
      </c>
    </row>
    <row r="108" spans="1:8" x14ac:dyDescent="0.25">
      <c r="A108" t="s">
        <v>219</v>
      </c>
      <c r="B108" t="s">
        <v>220</v>
      </c>
      <c r="C108" t="s">
        <v>41</v>
      </c>
      <c r="D108" s="1">
        <v>247.18</v>
      </c>
      <c r="E108" s="2">
        <v>4584.82</v>
      </c>
      <c r="F108" s="2">
        <f>D108*E108</f>
      </c>
      <c r="G108" s="2">
        <f>F108*0.16</f>
      </c>
      <c r="H108" s="2">
        <f>F108+G108</f>
      </c>
    </row>
    <row r="109" spans="1:8" x14ac:dyDescent="0.25">
      <c r="A109" t="s">
        <v>221</v>
      </c>
      <c r="B109" t="s">
        <v>222</v>
      </c>
      <c r="C109" t="s">
        <v>18</v>
      </c>
      <c r="D109" s="1">
        <v>258.31</v>
      </c>
      <c r="E109" s="2">
        <v>3860.08</v>
      </c>
      <c r="F109" s="2">
        <f>D109*E109</f>
      </c>
      <c r="G109" s="2">
        <f>F109*0.16</f>
      </c>
      <c r="H109" s="2">
        <f>F109+G109</f>
      </c>
    </row>
    <row r="110" spans="1:8" x14ac:dyDescent="0.25">
      <c r="A110" t="s">
        <v>223</v>
      </c>
      <c r="B110" t="s">
        <v>224</v>
      </c>
      <c r="C110" t="s">
        <v>34</v>
      </c>
      <c r="D110" s="1">
        <v>271.02</v>
      </c>
      <c r="E110" s="2">
        <v>3378.44</v>
      </c>
      <c r="F110" s="2">
        <f>D110*E110</f>
      </c>
      <c r="G110" s="2">
        <f>F110*0.16</f>
      </c>
      <c r="H110" s="2">
        <f>F110+G110</f>
      </c>
    </row>
    <row r="111" spans="1:8" x14ac:dyDescent="0.25">
      <c r="A111" t="s">
        <v>225</v>
      </c>
      <c r="B111" t="s">
        <v>226</v>
      </c>
      <c r="C111" t="s">
        <v>18</v>
      </c>
      <c r="D111" s="1">
        <v>427.66</v>
      </c>
      <c r="E111" s="2">
        <v>2758.08</v>
      </c>
      <c r="F111" s="2">
        <f>D111*E111</f>
      </c>
      <c r="G111" s="2">
        <f>F111*0.16</f>
      </c>
      <c r="H111" s="2">
        <f>F111+G111</f>
      </c>
    </row>
    <row r="112" spans="1:8" x14ac:dyDescent="0.25">
      <c r="A112" t="s">
        <v>227</v>
      </c>
      <c r="B112" t="s">
        <v>228</v>
      </c>
      <c r="C112" t="s">
        <v>41</v>
      </c>
      <c r="D112" s="1">
        <v>274.47</v>
      </c>
      <c r="E112" s="2">
        <v>2167.56</v>
      </c>
      <c r="F112" s="2">
        <f>D112*E112</f>
      </c>
      <c r="G112" s="2">
        <f>F112*0.16</f>
      </c>
      <c r="H112" s="2">
        <f>F112+G112</f>
      </c>
    </row>
    <row r="113" spans="1:8" x14ac:dyDescent="0.25">
      <c r="A113" t="s">
        <v>229</v>
      </c>
      <c r="B113" t="s">
        <v>230</v>
      </c>
      <c r="C113" t="s">
        <v>18</v>
      </c>
      <c r="D113" s="1">
        <v>68.42</v>
      </c>
      <c r="E113" s="2">
        <v>252.55</v>
      </c>
      <c r="F113" s="2">
        <f>D113*E113</f>
      </c>
      <c r="G113" s="2">
        <f>F113*0.16</f>
      </c>
      <c r="H113" s="2">
        <f>F113+G113</f>
      </c>
    </row>
    <row r="114" spans="1:8" x14ac:dyDescent="0.25">
      <c r="A114" t="s">
        <v>231</v>
      </c>
      <c r="B114" t="s">
        <v>232</v>
      </c>
      <c r="C114" t="s">
        <v>12</v>
      </c>
      <c r="D114" s="1">
        <v>83.09</v>
      </c>
      <c r="E114" s="2">
        <v>3156.09</v>
      </c>
      <c r="F114" s="2">
        <f>D114*E114</f>
      </c>
      <c r="G114" s="2">
        <f>F114*0.16</f>
      </c>
      <c r="H114" s="2">
        <f>F114+G114</f>
      </c>
    </row>
    <row r="115" spans="1:8" x14ac:dyDescent="0.25">
      <c r="A115" t="s">
        <v>233</v>
      </c>
      <c r="B115" t="s">
        <v>234</v>
      </c>
      <c r="C115" t="s">
        <v>23</v>
      </c>
      <c r="D115" s="1">
        <v>276.68</v>
      </c>
      <c r="E115" s="2">
        <v>910.41</v>
      </c>
      <c r="F115" s="2">
        <f>D115*E115</f>
      </c>
      <c r="G115" s="2">
        <f>F115*0.16</f>
      </c>
      <c r="H115" s="2">
        <f>F115+G115</f>
      </c>
    </row>
    <row r="116" spans="1:8" x14ac:dyDescent="0.25">
      <c r="A116" t="s">
        <v>235</v>
      </c>
      <c r="B116" t="s">
        <v>236</v>
      </c>
      <c r="C116" t="s">
        <v>12</v>
      </c>
      <c r="D116" s="1">
        <v>458</v>
      </c>
      <c r="E116" s="2">
        <v>4152.37</v>
      </c>
      <c r="F116" s="2">
        <f>D116*E116</f>
      </c>
      <c r="G116" s="2">
        <f>F116*0.16</f>
      </c>
      <c r="H116" s="2">
        <f>F116+G116</f>
      </c>
    </row>
    <row r="117" spans="1:8" x14ac:dyDescent="0.25">
      <c r="A117" t="s">
        <v>237</v>
      </c>
      <c r="B117" t="s">
        <v>238</v>
      </c>
      <c r="C117" t="s">
        <v>18</v>
      </c>
      <c r="D117" s="1">
        <v>200.61</v>
      </c>
      <c r="E117" s="2">
        <v>2572.09</v>
      </c>
      <c r="F117" s="2">
        <f>D117*E117</f>
      </c>
      <c r="G117" s="2">
        <f>F117*0.16</f>
      </c>
      <c r="H117" s="2">
        <f>F117+G117</f>
      </c>
    </row>
    <row r="118" spans="1:8" x14ac:dyDescent="0.25">
      <c r="A118" t="s">
        <v>239</v>
      </c>
      <c r="B118" t="s">
        <v>240</v>
      </c>
      <c r="C118" t="s">
        <v>12</v>
      </c>
      <c r="D118" s="1">
        <v>398.77</v>
      </c>
      <c r="E118" s="2">
        <v>3092.56</v>
      </c>
      <c r="F118" s="2">
        <f>D118*E118</f>
      </c>
      <c r="G118" s="2">
        <f>F118*0.16</f>
      </c>
      <c r="H118" s="2">
        <f>F118+G118</f>
      </c>
    </row>
    <row r="119" spans="1:8" x14ac:dyDescent="0.25">
      <c r="A119" t="s">
        <v>241</v>
      </c>
      <c r="B119" t="s">
        <v>242</v>
      </c>
      <c r="C119" t="s">
        <v>15</v>
      </c>
      <c r="D119" s="1">
        <v>277.97</v>
      </c>
      <c r="E119" s="2">
        <v>1106.8</v>
      </c>
      <c r="F119" s="2">
        <f>D119*E119</f>
      </c>
      <c r="G119" s="2">
        <f>F119*0.16</f>
      </c>
      <c r="H119" s="2">
        <f>F119+G119</f>
      </c>
    </row>
    <row r="120" spans="1:8" s="8" customFormat="1" x14ac:dyDescent="0.25">
      <c r="A120" s="8" t="s">
        <v>46</v>
      </c>
      <c r="B120" s="8" t="s">
        <v>243</v>
      </c>
      <c r="C120" s="8" t="s">
        <v>46</v>
      </c>
      <c r="D120" s="9" t="s">
        <v>46</v>
      </c>
      <c r="E120" s="10" t="s">
        <v>46</v>
      </c>
      <c r="F120" s="10">
        <f>SUM(F90:F119)</f>
      </c>
      <c r="G120" s="10">
        <f>SUM(G90:G119)</f>
      </c>
      <c r="H120" s="10">
        <f>SUM(H90:H119)</f>
      </c>
    </row>
    <row r="121" spans="1:8" x14ac:dyDescent="0.25">
      <c r="A121" s="7" t="s">
        <v>244</v>
      </c>
      <c r="B121" s="7"/>
      <c r="C121" s="7"/>
      <c r="D121" s="7"/>
      <c r="E121" s="7"/>
      <c r="F121" s="7"/>
      <c r="G121" s="7"/>
      <c r="H121" s="7"/>
    </row>
    <row r="122" spans="1:8" x14ac:dyDescent="0.25">
      <c r="A122" t="s">
        <v>245</v>
      </c>
      <c r="B122" t="s">
        <v>246</v>
      </c>
      <c r="C122" t="s">
        <v>23</v>
      </c>
      <c r="D122" s="1">
        <v>449.16</v>
      </c>
      <c r="E122" s="2">
        <v>3313.2</v>
      </c>
      <c r="F122" s="2">
        <f>D122*E122</f>
      </c>
      <c r="G122" s="2">
        <f>F122*0.16</f>
      </c>
      <c r="H122" s="2">
        <f>F122+G122</f>
      </c>
    </row>
    <row r="123" spans="1:8" x14ac:dyDescent="0.25">
      <c r="A123" t="s">
        <v>247</v>
      </c>
      <c r="B123" t="s">
        <v>248</v>
      </c>
      <c r="C123" t="s">
        <v>34</v>
      </c>
      <c r="D123" s="1">
        <v>432.89</v>
      </c>
      <c r="E123" s="2">
        <v>4350.55</v>
      </c>
      <c r="F123" s="2">
        <f>D123*E123</f>
      </c>
      <c r="G123" s="2">
        <f>F123*0.16</f>
      </c>
      <c r="H123" s="2">
        <f>F123+G123</f>
      </c>
    </row>
    <row r="124" spans="1:8" x14ac:dyDescent="0.25">
      <c r="A124" t="s">
        <v>249</v>
      </c>
      <c r="B124" t="s">
        <v>250</v>
      </c>
      <c r="C124" t="s">
        <v>41</v>
      </c>
      <c r="D124" s="1">
        <v>307.93</v>
      </c>
      <c r="E124" s="2">
        <v>2969.4</v>
      </c>
      <c r="F124" s="2">
        <f>D124*E124</f>
      </c>
      <c r="G124" s="2">
        <f>F124*0.16</f>
      </c>
      <c r="H124" s="2">
        <f>F124+G124</f>
      </c>
    </row>
    <row r="125" spans="1:8" x14ac:dyDescent="0.25">
      <c r="A125" t="s">
        <v>251</v>
      </c>
      <c r="B125" t="s">
        <v>252</v>
      </c>
      <c r="C125" t="s">
        <v>12</v>
      </c>
      <c r="D125" s="1">
        <v>207.73</v>
      </c>
      <c r="E125" s="2">
        <v>520.21</v>
      </c>
      <c r="F125" s="2">
        <f>D125*E125</f>
      </c>
      <c r="G125" s="2">
        <f>F125*0.16</f>
      </c>
      <c r="H125" s="2">
        <f>F125+G125</f>
      </c>
    </row>
    <row r="126" spans="1:8" x14ac:dyDescent="0.25">
      <c r="A126" t="s">
        <v>253</v>
      </c>
      <c r="B126" t="s">
        <v>254</v>
      </c>
      <c r="C126" t="s">
        <v>23</v>
      </c>
      <c r="D126" s="1">
        <v>57.09</v>
      </c>
      <c r="E126" s="2">
        <v>3010.23</v>
      </c>
      <c r="F126" s="2">
        <f>D126*E126</f>
      </c>
      <c r="G126" s="2">
        <f>F126*0.16</f>
      </c>
      <c r="H126" s="2">
        <f>F126+G126</f>
      </c>
    </row>
    <row r="127" spans="1:8" x14ac:dyDescent="0.25">
      <c r="A127" t="s">
        <v>255</v>
      </c>
      <c r="B127" t="s">
        <v>256</v>
      </c>
      <c r="C127" t="s">
        <v>15</v>
      </c>
      <c r="D127" s="1">
        <v>307.37</v>
      </c>
      <c r="E127" s="2">
        <v>432.68</v>
      </c>
      <c r="F127" s="2">
        <f>D127*E127</f>
      </c>
      <c r="G127" s="2">
        <f>F127*0.16</f>
      </c>
      <c r="H127" s="2">
        <f>F127+G127</f>
      </c>
    </row>
    <row r="128" spans="1:8" x14ac:dyDescent="0.25">
      <c r="A128" t="s">
        <v>257</v>
      </c>
      <c r="B128" t="s">
        <v>258</v>
      </c>
      <c r="C128" t="s">
        <v>34</v>
      </c>
      <c r="D128" s="1">
        <v>103.59</v>
      </c>
      <c r="E128" s="2">
        <v>395</v>
      </c>
      <c r="F128" s="2">
        <f>D128*E128</f>
      </c>
      <c r="G128" s="2">
        <f>F128*0.16</f>
      </c>
      <c r="H128" s="2">
        <f>F128+G128</f>
      </c>
    </row>
    <row r="129" spans="1:8" x14ac:dyDescent="0.25">
      <c r="A129" t="s">
        <v>259</v>
      </c>
      <c r="B129" t="s">
        <v>260</v>
      </c>
      <c r="C129" t="s">
        <v>41</v>
      </c>
      <c r="D129" s="1">
        <v>478.99</v>
      </c>
      <c r="E129" s="2">
        <v>900.51</v>
      </c>
      <c r="F129" s="2">
        <f>D129*E129</f>
      </c>
      <c r="G129" s="2">
        <f>F129*0.16</f>
      </c>
      <c r="H129" s="2">
        <f>F129+G129</f>
      </c>
    </row>
    <row r="130" spans="1:8" x14ac:dyDescent="0.25">
      <c r="A130" t="s">
        <v>261</v>
      </c>
      <c r="B130" t="s">
        <v>262</v>
      </c>
      <c r="C130" t="s">
        <v>34</v>
      </c>
      <c r="D130" s="1">
        <v>460.35</v>
      </c>
      <c r="E130" s="2">
        <v>4744.7</v>
      </c>
      <c r="F130" s="2">
        <f>D130*E130</f>
      </c>
      <c r="G130" s="2">
        <f>F130*0.16</f>
      </c>
      <c r="H130" s="2">
        <f>F130+G130</f>
      </c>
    </row>
    <row r="131" spans="1:8" x14ac:dyDescent="0.25">
      <c r="A131" t="s">
        <v>263</v>
      </c>
      <c r="B131" t="s">
        <v>264</v>
      </c>
      <c r="C131" t="s">
        <v>15</v>
      </c>
      <c r="D131" s="1">
        <v>232.98</v>
      </c>
      <c r="E131" s="2">
        <v>4939.23</v>
      </c>
      <c r="F131" s="2">
        <f>D131*E131</f>
      </c>
      <c r="G131" s="2">
        <f>F131*0.16</f>
      </c>
      <c r="H131" s="2">
        <f>F131+G131</f>
      </c>
    </row>
    <row r="132" spans="1:8" x14ac:dyDescent="0.25">
      <c r="A132" t="s">
        <v>265</v>
      </c>
      <c r="B132" t="s">
        <v>266</v>
      </c>
      <c r="C132" t="s">
        <v>34</v>
      </c>
      <c r="D132" s="1">
        <v>333.97</v>
      </c>
      <c r="E132" s="2">
        <v>362.29</v>
      </c>
      <c r="F132" s="2">
        <f>D132*E132</f>
      </c>
      <c r="G132" s="2">
        <f>F132*0.16</f>
      </c>
      <c r="H132" s="2">
        <f>F132+G132</f>
      </c>
    </row>
    <row r="133" spans="1:8" x14ac:dyDescent="0.25">
      <c r="A133" t="s">
        <v>267</v>
      </c>
      <c r="B133" t="s">
        <v>268</v>
      </c>
      <c r="C133" t="s">
        <v>18</v>
      </c>
      <c r="D133" s="1">
        <v>358.71</v>
      </c>
      <c r="E133" s="2">
        <v>3407.41</v>
      </c>
      <c r="F133" s="2">
        <f>D133*E133</f>
      </c>
      <c r="G133" s="2">
        <f>F133*0.16</f>
      </c>
      <c r="H133" s="2">
        <f>F133+G133</f>
      </c>
    </row>
    <row r="134" spans="1:8" x14ac:dyDescent="0.25">
      <c r="A134" t="s">
        <v>269</v>
      </c>
      <c r="B134" t="s">
        <v>270</v>
      </c>
      <c r="C134" t="s">
        <v>23</v>
      </c>
      <c r="D134" s="1">
        <v>311.32</v>
      </c>
      <c r="E134" s="2">
        <v>1230.66</v>
      </c>
      <c r="F134" s="2">
        <f>D134*E134</f>
      </c>
      <c r="G134" s="2">
        <f>F134*0.16</f>
      </c>
      <c r="H134" s="2">
        <f>F134+G134</f>
      </c>
    </row>
    <row r="135" spans="1:8" x14ac:dyDescent="0.25">
      <c r="A135" t="s">
        <v>271</v>
      </c>
      <c r="B135" t="s">
        <v>272</v>
      </c>
      <c r="C135" t="s">
        <v>41</v>
      </c>
      <c r="D135" s="1">
        <v>43.5</v>
      </c>
      <c r="E135" s="2">
        <v>4744.11</v>
      </c>
      <c r="F135" s="2">
        <f>D135*E135</f>
      </c>
      <c r="G135" s="2">
        <f>F135*0.16</f>
      </c>
      <c r="H135" s="2">
        <f>F135+G135</f>
      </c>
    </row>
    <row r="136" spans="1:8" x14ac:dyDescent="0.25">
      <c r="A136" t="s">
        <v>273</v>
      </c>
      <c r="B136" t="s">
        <v>274</v>
      </c>
      <c r="C136" t="s">
        <v>18</v>
      </c>
      <c r="D136" s="1">
        <v>473.4</v>
      </c>
      <c r="E136" s="2">
        <v>75.84</v>
      </c>
      <c r="F136" s="2">
        <f>D136*E136</f>
      </c>
      <c r="G136" s="2">
        <f>F136*0.16</f>
      </c>
      <c r="H136" s="2">
        <f>F136+G136</f>
      </c>
    </row>
    <row r="137" spans="1:8" x14ac:dyDescent="0.25">
      <c r="A137" t="s">
        <v>275</v>
      </c>
      <c r="B137" t="s">
        <v>276</v>
      </c>
      <c r="C137" t="s">
        <v>15</v>
      </c>
      <c r="D137" s="1">
        <v>267.33</v>
      </c>
      <c r="E137" s="2">
        <v>4334.67</v>
      </c>
      <c r="F137" s="2">
        <f>D137*E137</f>
      </c>
      <c r="G137" s="2">
        <f>F137*0.16</f>
      </c>
      <c r="H137" s="2">
        <f>F137+G137</f>
      </c>
    </row>
    <row r="138" spans="1:8" x14ac:dyDescent="0.25">
      <c r="A138" t="s">
        <v>277</v>
      </c>
      <c r="B138" t="s">
        <v>278</v>
      </c>
      <c r="C138" t="s">
        <v>18</v>
      </c>
      <c r="D138" s="1">
        <v>276.9</v>
      </c>
      <c r="E138" s="2">
        <v>3169.24</v>
      </c>
      <c r="F138" s="2">
        <f>D138*E138</f>
      </c>
      <c r="G138" s="2">
        <f>F138*0.16</f>
      </c>
      <c r="H138" s="2">
        <f>F138+G138</f>
      </c>
    </row>
    <row r="139" spans="1:8" x14ac:dyDescent="0.25">
      <c r="A139" t="s">
        <v>279</v>
      </c>
      <c r="B139" t="s">
        <v>280</v>
      </c>
      <c r="C139" t="s">
        <v>23</v>
      </c>
      <c r="D139" s="1">
        <v>328</v>
      </c>
      <c r="E139" s="2">
        <v>3867.5</v>
      </c>
      <c r="F139" s="2">
        <f>D139*E139</f>
      </c>
      <c r="G139" s="2">
        <f>F139*0.16</f>
      </c>
      <c r="H139" s="2">
        <f>F139+G139</f>
      </c>
    </row>
    <row r="140" spans="1:8" x14ac:dyDescent="0.25">
      <c r="A140" t="s">
        <v>281</v>
      </c>
      <c r="B140" t="s">
        <v>282</v>
      </c>
      <c r="C140" t="s">
        <v>12</v>
      </c>
      <c r="D140" s="1">
        <v>383.22</v>
      </c>
      <c r="E140" s="2">
        <v>1515.13</v>
      </c>
      <c r="F140" s="2">
        <f>D140*E140</f>
      </c>
      <c r="G140" s="2">
        <f>F140*0.16</f>
      </c>
      <c r="H140" s="2">
        <f>F140+G140</f>
      </c>
    </row>
    <row r="141" spans="1:8" x14ac:dyDescent="0.25">
      <c r="A141" t="s">
        <v>283</v>
      </c>
      <c r="B141" t="s">
        <v>284</v>
      </c>
      <c r="C141" t="s">
        <v>23</v>
      </c>
      <c r="D141" s="1">
        <v>64.55</v>
      </c>
      <c r="E141" s="2">
        <v>1552.1</v>
      </c>
      <c r="F141" s="2">
        <f>D141*E141</f>
      </c>
      <c r="G141" s="2">
        <f>F141*0.16</f>
      </c>
      <c r="H141" s="2">
        <f>F141+G141</f>
      </c>
    </row>
    <row r="142" spans="1:8" x14ac:dyDescent="0.25">
      <c r="A142" t="s">
        <v>285</v>
      </c>
      <c r="B142" t="s">
        <v>286</v>
      </c>
      <c r="C142" t="s">
        <v>23</v>
      </c>
      <c r="D142" s="1">
        <v>187.2</v>
      </c>
      <c r="E142" s="2">
        <v>854.7</v>
      </c>
      <c r="F142" s="2">
        <f>D142*E142</f>
      </c>
      <c r="G142" s="2">
        <f>F142*0.16</f>
      </c>
      <c r="H142" s="2">
        <f>F142+G142</f>
      </c>
    </row>
    <row r="143" spans="1:8" x14ac:dyDescent="0.25">
      <c r="A143" t="s">
        <v>287</v>
      </c>
      <c r="B143" t="s">
        <v>288</v>
      </c>
      <c r="C143" t="s">
        <v>41</v>
      </c>
      <c r="D143" s="1">
        <v>175.35</v>
      </c>
      <c r="E143" s="2">
        <v>447.59</v>
      </c>
      <c r="F143" s="2">
        <f>D143*E143</f>
      </c>
      <c r="G143" s="2">
        <f>F143*0.16</f>
      </c>
      <c r="H143" s="2">
        <f>F143+G143</f>
      </c>
    </row>
    <row r="144" spans="1:8" x14ac:dyDescent="0.25">
      <c r="A144" t="s">
        <v>289</v>
      </c>
      <c r="B144" t="s">
        <v>290</v>
      </c>
      <c r="C144" t="s">
        <v>34</v>
      </c>
      <c r="D144" s="1">
        <v>120.48</v>
      </c>
      <c r="E144" s="2">
        <v>3900.31</v>
      </c>
      <c r="F144" s="2">
        <f>D144*E144</f>
      </c>
      <c r="G144" s="2">
        <f>F144*0.16</f>
      </c>
      <c r="H144" s="2">
        <f>F144+G144</f>
      </c>
    </row>
    <row r="145" spans="1:8" x14ac:dyDescent="0.25">
      <c r="A145" t="s">
        <v>291</v>
      </c>
      <c r="B145" t="s">
        <v>292</v>
      </c>
      <c r="C145" t="s">
        <v>23</v>
      </c>
      <c r="D145" s="1">
        <v>429.24</v>
      </c>
      <c r="E145" s="2">
        <v>4562.05</v>
      </c>
      <c r="F145" s="2">
        <f>D145*E145</f>
      </c>
      <c r="G145" s="2">
        <f>F145*0.16</f>
      </c>
      <c r="H145" s="2">
        <f>F145+G145</f>
      </c>
    </row>
    <row r="146" spans="1:8" x14ac:dyDescent="0.25">
      <c r="A146" t="s">
        <v>293</v>
      </c>
      <c r="B146" t="s">
        <v>294</v>
      </c>
      <c r="C146" t="s">
        <v>41</v>
      </c>
      <c r="D146" s="1">
        <v>343.99</v>
      </c>
      <c r="E146" s="2">
        <v>3652.57</v>
      </c>
      <c r="F146" s="2">
        <f>D146*E146</f>
      </c>
      <c r="G146" s="2">
        <f>F146*0.16</f>
      </c>
      <c r="H146" s="2">
        <f>F146+G146</f>
      </c>
    </row>
    <row r="147" spans="1:8" x14ac:dyDescent="0.25">
      <c r="A147" t="s">
        <v>295</v>
      </c>
      <c r="B147" t="s">
        <v>296</v>
      </c>
      <c r="C147" t="s">
        <v>18</v>
      </c>
      <c r="D147" s="1">
        <v>356.35</v>
      </c>
      <c r="E147" s="2">
        <v>1783.28</v>
      </c>
      <c r="F147" s="2">
        <f>D147*E147</f>
      </c>
      <c r="G147" s="2">
        <f>F147*0.16</f>
      </c>
      <c r="H147" s="2">
        <f>F147+G147</f>
      </c>
    </row>
    <row r="148" spans="1:8" x14ac:dyDescent="0.25">
      <c r="A148" t="s">
        <v>297</v>
      </c>
      <c r="B148" t="s">
        <v>298</v>
      </c>
      <c r="C148" t="s">
        <v>23</v>
      </c>
      <c r="D148" s="1">
        <v>428.72</v>
      </c>
      <c r="E148" s="2">
        <v>4059.07</v>
      </c>
      <c r="F148" s="2">
        <f>D148*E148</f>
      </c>
      <c r="G148" s="2">
        <f>F148*0.16</f>
      </c>
      <c r="H148" s="2">
        <f>F148+G148</f>
      </c>
    </row>
    <row r="149" spans="1:8" x14ac:dyDescent="0.25">
      <c r="A149" t="s">
        <v>299</v>
      </c>
      <c r="B149" t="s">
        <v>300</v>
      </c>
      <c r="C149" t="s">
        <v>41</v>
      </c>
      <c r="D149" s="1">
        <v>313.13</v>
      </c>
      <c r="E149" s="2">
        <v>2581.07</v>
      </c>
      <c r="F149" s="2">
        <f>D149*E149</f>
      </c>
      <c r="G149" s="2">
        <f>F149*0.16</f>
      </c>
      <c r="H149" s="2">
        <f>F149+G149</f>
      </c>
    </row>
    <row r="150" spans="1:8" x14ac:dyDescent="0.25">
      <c r="A150" t="s">
        <v>301</v>
      </c>
      <c r="B150" t="s">
        <v>302</v>
      </c>
      <c r="C150" t="s">
        <v>34</v>
      </c>
      <c r="D150" s="1">
        <v>227.25</v>
      </c>
      <c r="E150" s="2">
        <v>4848.03</v>
      </c>
      <c r="F150" s="2">
        <f>D150*E150</f>
      </c>
      <c r="G150" s="2">
        <f>F150*0.16</f>
      </c>
      <c r="H150" s="2">
        <f>F150+G150</f>
      </c>
    </row>
    <row r="151" spans="1:8" x14ac:dyDescent="0.25">
      <c r="A151" t="s">
        <v>303</v>
      </c>
      <c r="B151" t="s">
        <v>304</v>
      </c>
      <c r="C151" t="s">
        <v>18</v>
      </c>
      <c r="D151" s="1">
        <v>17.33</v>
      </c>
      <c r="E151" s="2">
        <v>424.19</v>
      </c>
      <c r="F151" s="2">
        <f>D151*E151</f>
      </c>
      <c r="G151" s="2">
        <f>F151*0.16</f>
      </c>
      <c r="H151" s="2">
        <f>F151+G151</f>
      </c>
    </row>
    <row r="152" spans="1:8" x14ac:dyDescent="0.25">
      <c r="A152" t="s">
        <v>305</v>
      </c>
      <c r="B152" t="s">
        <v>306</v>
      </c>
      <c r="C152" t="s">
        <v>12</v>
      </c>
      <c r="D152" s="1">
        <v>140.3</v>
      </c>
      <c r="E152" s="2">
        <v>1593.72</v>
      </c>
      <c r="F152" s="2">
        <f>D152*E152</f>
      </c>
      <c r="G152" s="2">
        <f>F152*0.16</f>
      </c>
      <c r="H152" s="2">
        <f>F152+G152</f>
      </c>
    </row>
    <row r="153" spans="1:8" x14ac:dyDescent="0.25">
      <c r="A153" t="s">
        <v>307</v>
      </c>
      <c r="B153" t="s">
        <v>308</v>
      </c>
      <c r="C153" t="s">
        <v>15</v>
      </c>
      <c r="D153" s="1">
        <v>377.78</v>
      </c>
      <c r="E153" s="2">
        <v>2054.52</v>
      </c>
      <c r="F153" s="2">
        <f>D153*E153</f>
      </c>
      <c r="G153" s="2">
        <f>F153*0.16</f>
      </c>
      <c r="H153" s="2">
        <f>F153+G153</f>
      </c>
    </row>
    <row r="154" spans="1:8" x14ac:dyDescent="0.25">
      <c r="A154" t="s">
        <v>309</v>
      </c>
      <c r="B154" t="s">
        <v>310</v>
      </c>
      <c r="C154" t="s">
        <v>34</v>
      </c>
      <c r="D154" s="1">
        <v>314.27</v>
      </c>
      <c r="E154" s="2">
        <v>4738.04</v>
      </c>
      <c r="F154" s="2">
        <f>D154*E154</f>
      </c>
      <c r="G154" s="2">
        <f>F154*0.16</f>
      </c>
      <c r="H154" s="2">
        <f>F154+G154</f>
      </c>
    </row>
    <row r="155" spans="1:8" x14ac:dyDescent="0.25">
      <c r="A155" t="s">
        <v>311</v>
      </c>
      <c r="B155" t="s">
        <v>312</v>
      </c>
      <c r="C155" t="s">
        <v>15</v>
      </c>
      <c r="D155" s="1">
        <v>35.14</v>
      </c>
      <c r="E155" s="2">
        <v>4112.92</v>
      </c>
      <c r="F155" s="2">
        <f>D155*E155</f>
      </c>
      <c r="G155" s="2">
        <f>F155*0.16</f>
      </c>
      <c r="H155" s="2">
        <f>F155+G155</f>
      </c>
    </row>
    <row r="156" spans="1:8" x14ac:dyDescent="0.25">
      <c r="A156" t="s">
        <v>313</v>
      </c>
      <c r="B156" t="s">
        <v>314</v>
      </c>
      <c r="C156" t="s">
        <v>41</v>
      </c>
      <c r="D156" s="1">
        <v>279.51</v>
      </c>
      <c r="E156" s="2">
        <v>43.02</v>
      </c>
      <c r="F156" s="2">
        <f>D156*E156</f>
      </c>
      <c r="G156" s="2">
        <f>F156*0.16</f>
      </c>
      <c r="H156" s="2">
        <f>F156+G156</f>
      </c>
    </row>
    <row r="157" spans="1:8" s="8" customFormat="1" x14ac:dyDescent="0.25">
      <c r="A157" s="8" t="s">
        <v>46</v>
      </c>
      <c r="B157" s="8" t="s">
        <v>315</v>
      </c>
      <c r="C157" s="8" t="s">
        <v>46</v>
      </c>
      <c r="D157" s="9" t="s">
        <v>46</v>
      </c>
      <c r="E157" s="10" t="s">
        <v>46</v>
      </c>
      <c r="F157" s="10">
        <f>SUM(F122:F156)</f>
      </c>
      <c r="G157" s="10">
        <f>SUM(G122:G156)</f>
      </c>
      <c r="H157" s="10">
        <f>SUM(H122:H156)</f>
      </c>
    </row>
    <row r="158" spans="1:8" x14ac:dyDescent="0.25">
      <c r="A158" s="7" t="s">
        <v>316</v>
      </c>
      <c r="B158" s="7"/>
      <c r="C158" s="7"/>
      <c r="D158" s="7"/>
      <c r="E158" s="7"/>
      <c r="F158" s="7"/>
      <c r="G158" s="7"/>
      <c r="H158" s="7"/>
    </row>
    <row r="159" spans="1:8" x14ac:dyDescent="0.25">
      <c r="A159" t="s">
        <v>317</v>
      </c>
      <c r="B159" t="s">
        <v>318</v>
      </c>
      <c r="C159" t="s">
        <v>15</v>
      </c>
      <c r="D159" s="1">
        <v>202.53</v>
      </c>
      <c r="E159" s="2">
        <v>1774.9</v>
      </c>
      <c r="F159" s="2">
        <f>D159*E159</f>
      </c>
      <c r="G159" s="2">
        <f>F159*0.16</f>
      </c>
      <c r="H159" s="2">
        <f>F159+G159</f>
      </c>
    </row>
    <row r="160" spans="1:8" x14ac:dyDescent="0.25">
      <c r="A160" t="s">
        <v>319</v>
      </c>
      <c r="B160" t="s">
        <v>320</v>
      </c>
      <c r="C160" t="s">
        <v>18</v>
      </c>
      <c r="D160" s="1">
        <v>466.48</v>
      </c>
      <c r="E160" s="2">
        <v>2932.77</v>
      </c>
      <c r="F160" s="2">
        <f>D160*E160</f>
      </c>
      <c r="G160" s="2">
        <f>F160*0.16</f>
      </c>
      <c r="H160" s="2">
        <f>F160+G160</f>
      </c>
    </row>
    <row r="161" spans="1:8" x14ac:dyDescent="0.25">
      <c r="A161" t="s">
        <v>321</v>
      </c>
      <c r="B161" t="s">
        <v>322</v>
      </c>
      <c r="C161" t="s">
        <v>15</v>
      </c>
      <c r="D161" s="1">
        <v>13.67</v>
      </c>
      <c r="E161" s="2">
        <v>784.72</v>
      </c>
      <c r="F161" s="2">
        <f>D161*E161</f>
      </c>
      <c r="G161" s="2">
        <f>F161*0.16</f>
      </c>
      <c r="H161" s="2">
        <f>F161+G161</f>
      </c>
    </row>
    <row r="162" spans="1:8" x14ac:dyDescent="0.25">
      <c r="A162" t="s">
        <v>323</v>
      </c>
      <c r="B162" t="s">
        <v>324</v>
      </c>
      <c r="C162" t="s">
        <v>23</v>
      </c>
      <c r="D162" s="1">
        <v>1.65</v>
      </c>
      <c r="E162" s="2">
        <v>2511.08</v>
      </c>
      <c r="F162" s="2">
        <f>D162*E162</f>
      </c>
      <c r="G162" s="2">
        <f>F162*0.16</f>
      </c>
      <c r="H162" s="2">
        <f>F162+G162</f>
      </c>
    </row>
    <row r="163" spans="1:8" x14ac:dyDescent="0.25">
      <c r="A163" t="s">
        <v>325</v>
      </c>
      <c r="B163" t="s">
        <v>326</v>
      </c>
      <c r="C163" t="s">
        <v>34</v>
      </c>
      <c r="D163" s="1">
        <v>13.83</v>
      </c>
      <c r="E163" s="2">
        <v>876.69</v>
      </c>
      <c r="F163" s="2">
        <f>D163*E163</f>
      </c>
      <c r="G163" s="2">
        <f>F163*0.16</f>
      </c>
      <c r="H163" s="2">
        <f>F163+G163</f>
      </c>
    </row>
    <row r="164" spans="1:8" x14ac:dyDescent="0.25">
      <c r="A164" t="s">
        <v>327</v>
      </c>
      <c r="B164" t="s">
        <v>328</v>
      </c>
      <c r="C164" t="s">
        <v>41</v>
      </c>
      <c r="D164" s="1">
        <v>375.97</v>
      </c>
      <c r="E164" s="2">
        <v>2870.48</v>
      </c>
      <c r="F164" s="2">
        <f>D164*E164</f>
      </c>
      <c r="G164" s="2">
        <f>F164*0.16</f>
      </c>
      <c r="H164" s="2">
        <f>F164+G164</f>
      </c>
    </row>
    <row r="165" spans="1:8" x14ac:dyDescent="0.25">
      <c r="A165" t="s">
        <v>329</v>
      </c>
      <c r="B165" t="s">
        <v>330</v>
      </c>
      <c r="C165" t="s">
        <v>18</v>
      </c>
      <c r="D165" s="1">
        <v>217</v>
      </c>
      <c r="E165" s="2">
        <v>4944.45</v>
      </c>
      <c r="F165" s="2">
        <f>D165*E165</f>
      </c>
      <c r="G165" s="2">
        <f>F165*0.16</f>
      </c>
      <c r="H165" s="2">
        <f>F165+G165</f>
      </c>
    </row>
    <row r="166" spans="1:8" x14ac:dyDescent="0.25">
      <c r="A166" t="s">
        <v>331</v>
      </c>
      <c r="B166" t="s">
        <v>332</v>
      </c>
      <c r="C166" t="s">
        <v>12</v>
      </c>
      <c r="D166" s="1">
        <v>448.15</v>
      </c>
      <c r="E166" s="2">
        <v>4500.04</v>
      </c>
      <c r="F166" s="2">
        <f>D166*E166</f>
      </c>
      <c r="G166" s="2">
        <f>F166*0.16</f>
      </c>
      <c r="H166" s="2">
        <f>F166+G166</f>
      </c>
    </row>
    <row r="167" spans="1:8" x14ac:dyDescent="0.25">
      <c r="A167" t="s">
        <v>333</v>
      </c>
      <c r="B167" t="s">
        <v>334</v>
      </c>
      <c r="C167" t="s">
        <v>34</v>
      </c>
      <c r="D167" s="1">
        <v>242.62</v>
      </c>
      <c r="E167" s="2">
        <v>2506.13</v>
      </c>
      <c r="F167" s="2">
        <f>D167*E167</f>
      </c>
      <c r="G167" s="2">
        <f>F167*0.16</f>
      </c>
      <c r="H167" s="2">
        <f>F167+G167</f>
      </c>
    </row>
    <row r="168" spans="1:8" x14ac:dyDescent="0.25">
      <c r="A168" t="s">
        <v>335</v>
      </c>
      <c r="B168" t="s">
        <v>336</v>
      </c>
      <c r="C168" t="s">
        <v>23</v>
      </c>
      <c r="D168" s="1">
        <v>495.74</v>
      </c>
      <c r="E168" s="2">
        <v>1996.88</v>
      </c>
      <c r="F168" s="2">
        <f>D168*E168</f>
      </c>
      <c r="G168" s="2">
        <f>F168*0.16</f>
      </c>
      <c r="H168" s="2">
        <f>F168+G168</f>
      </c>
    </row>
    <row r="169" spans="1:8" x14ac:dyDescent="0.25">
      <c r="A169" t="s">
        <v>337</v>
      </c>
      <c r="B169" t="s">
        <v>338</v>
      </c>
      <c r="C169" t="s">
        <v>41</v>
      </c>
      <c r="D169" s="1">
        <v>390.81</v>
      </c>
      <c r="E169" s="2">
        <v>4145.01</v>
      </c>
      <c r="F169" s="2">
        <f>D169*E169</f>
      </c>
      <c r="G169" s="2">
        <f>F169*0.16</f>
      </c>
      <c r="H169" s="2">
        <f>F169+G169</f>
      </c>
    </row>
    <row r="170" spans="1:8" x14ac:dyDescent="0.25">
      <c r="A170" t="s">
        <v>339</v>
      </c>
      <c r="B170" t="s">
        <v>340</v>
      </c>
      <c r="C170" t="s">
        <v>15</v>
      </c>
      <c r="D170" s="1">
        <v>384.43</v>
      </c>
      <c r="E170" s="2">
        <v>501.99</v>
      </c>
      <c r="F170" s="2">
        <f>D170*E170</f>
      </c>
      <c r="G170" s="2">
        <f>F170*0.16</f>
      </c>
      <c r="H170" s="2">
        <f>F170+G170</f>
      </c>
    </row>
    <row r="171" spans="1:8" x14ac:dyDescent="0.25">
      <c r="A171" t="s">
        <v>341</v>
      </c>
      <c r="B171" t="s">
        <v>342</v>
      </c>
      <c r="C171" t="s">
        <v>34</v>
      </c>
      <c r="D171" s="1">
        <v>189.43</v>
      </c>
      <c r="E171" s="2">
        <v>670.65</v>
      </c>
      <c r="F171" s="2">
        <f>D171*E171</f>
      </c>
      <c r="G171" s="2">
        <f>F171*0.16</f>
      </c>
      <c r="H171" s="2">
        <f>F171+G171</f>
      </c>
    </row>
    <row r="172" spans="1:8" x14ac:dyDescent="0.25">
      <c r="A172" t="s">
        <v>343</v>
      </c>
      <c r="B172" t="s">
        <v>344</v>
      </c>
      <c r="C172" t="s">
        <v>12</v>
      </c>
      <c r="D172" s="1">
        <v>191.14</v>
      </c>
      <c r="E172" s="2">
        <v>2830.22</v>
      </c>
      <c r="F172" s="2">
        <f>D172*E172</f>
      </c>
      <c r="G172" s="2">
        <f>F172*0.16</f>
      </c>
      <c r="H172" s="2">
        <f>F172+G172</f>
      </c>
    </row>
    <row r="173" spans="1:8" x14ac:dyDescent="0.25">
      <c r="A173" t="s">
        <v>345</v>
      </c>
      <c r="B173" t="s">
        <v>346</v>
      </c>
      <c r="C173" t="s">
        <v>18</v>
      </c>
      <c r="D173" s="1">
        <v>172.11</v>
      </c>
      <c r="E173" s="2">
        <v>1398.58</v>
      </c>
      <c r="F173" s="2">
        <f>D173*E173</f>
      </c>
      <c r="G173" s="2">
        <f>F173*0.16</f>
      </c>
      <c r="H173" s="2">
        <f>F173+G173</f>
      </c>
    </row>
    <row r="174" spans="1:8" x14ac:dyDescent="0.25">
      <c r="A174" t="s">
        <v>347</v>
      </c>
      <c r="B174" t="s">
        <v>348</v>
      </c>
      <c r="C174" t="s">
        <v>23</v>
      </c>
      <c r="D174" s="1">
        <v>449</v>
      </c>
      <c r="E174" s="2">
        <v>4633.2</v>
      </c>
      <c r="F174" s="2">
        <f>D174*E174</f>
      </c>
      <c r="G174" s="2">
        <f>F174*0.16</f>
      </c>
      <c r="H174" s="2">
        <f>F174+G174</f>
      </c>
    </row>
    <row r="175" spans="1:8" x14ac:dyDescent="0.25">
      <c r="A175" t="s">
        <v>349</v>
      </c>
      <c r="B175" t="s">
        <v>350</v>
      </c>
      <c r="C175" t="s">
        <v>41</v>
      </c>
      <c r="D175" s="1">
        <v>410.68</v>
      </c>
      <c r="E175" s="2">
        <v>606.85</v>
      </c>
      <c r="F175" s="2">
        <f>D175*E175</f>
      </c>
      <c r="G175" s="2">
        <f>F175*0.16</f>
      </c>
      <c r="H175" s="2">
        <f>F175+G175</f>
      </c>
    </row>
    <row r="176" spans="1:8" x14ac:dyDescent="0.25">
      <c r="A176" t="s">
        <v>351</v>
      </c>
      <c r="B176" t="s">
        <v>352</v>
      </c>
      <c r="C176" t="s">
        <v>15</v>
      </c>
      <c r="D176" s="1">
        <v>399.98</v>
      </c>
      <c r="E176" s="2">
        <v>585.78</v>
      </c>
      <c r="F176" s="2">
        <f>D176*E176</f>
      </c>
      <c r="G176" s="2">
        <f>F176*0.16</f>
      </c>
      <c r="H176" s="2">
        <f>F176+G176</f>
      </c>
    </row>
    <row r="177" spans="1:8" x14ac:dyDescent="0.25">
      <c r="A177" t="s">
        <v>353</v>
      </c>
      <c r="B177" t="s">
        <v>354</v>
      </c>
      <c r="C177" t="s">
        <v>34</v>
      </c>
      <c r="D177" s="1">
        <v>349.05</v>
      </c>
      <c r="E177" s="2">
        <v>182.97</v>
      </c>
      <c r="F177" s="2">
        <f>D177*E177</f>
      </c>
      <c r="G177" s="2">
        <f>F177*0.16</f>
      </c>
      <c r="H177" s="2">
        <f>F177+G177</f>
      </c>
    </row>
    <row r="178" spans="1:8" x14ac:dyDescent="0.25">
      <c r="A178" t="s">
        <v>355</v>
      </c>
      <c r="B178" t="s">
        <v>356</v>
      </c>
      <c r="C178" t="s">
        <v>23</v>
      </c>
      <c r="D178" s="1">
        <v>377.52</v>
      </c>
      <c r="E178" s="2">
        <v>2719.49</v>
      </c>
      <c r="F178" s="2">
        <f>D178*E178</f>
      </c>
      <c r="G178" s="2">
        <f>F178*0.16</f>
      </c>
      <c r="H178" s="2">
        <f>F178+G178</f>
      </c>
    </row>
    <row r="179" spans="1:8" x14ac:dyDescent="0.25">
      <c r="A179" t="s">
        <v>357</v>
      </c>
      <c r="B179" t="s">
        <v>358</v>
      </c>
      <c r="C179" t="s">
        <v>12</v>
      </c>
      <c r="D179" s="1">
        <v>285.8</v>
      </c>
      <c r="E179" s="2">
        <v>4972.32</v>
      </c>
      <c r="F179" s="2">
        <f>D179*E179</f>
      </c>
      <c r="G179" s="2">
        <f>F179*0.16</f>
      </c>
      <c r="H179" s="2">
        <f>F179+G179</f>
      </c>
    </row>
    <row r="180" spans="1:8" x14ac:dyDescent="0.25">
      <c r="A180" t="s">
        <v>359</v>
      </c>
      <c r="B180" t="s">
        <v>360</v>
      </c>
      <c r="C180" t="s">
        <v>41</v>
      </c>
      <c r="D180" s="1">
        <v>307.78</v>
      </c>
      <c r="E180" s="2">
        <v>2080.25</v>
      </c>
      <c r="F180" s="2">
        <f>D180*E180</f>
      </c>
      <c r="G180" s="2">
        <f>F180*0.16</f>
      </c>
      <c r="H180" s="2">
        <f>F180+G180</f>
      </c>
    </row>
    <row r="181" spans="1:8" x14ac:dyDescent="0.25">
      <c r="A181" t="s">
        <v>361</v>
      </c>
      <c r="B181" t="s">
        <v>362</v>
      </c>
      <c r="C181" t="s">
        <v>23</v>
      </c>
      <c r="D181" s="1">
        <v>145.59</v>
      </c>
      <c r="E181" s="2">
        <v>4602.52</v>
      </c>
      <c r="F181" s="2">
        <f>D181*E181</f>
      </c>
      <c r="G181" s="2">
        <f>F181*0.16</f>
      </c>
      <c r="H181" s="2">
        <f>F181+G181</f>
      </c>
    </row>
    <row r="182" spans="1:8" x14ac:dyDescent="0.25">
      <c r="A182" t="s">
        <v>363</v>
      </c>
      <c r="B182" t="s">
        <v>364</v>
      </c>
      <c r="C182" t="s">
        <v>23</v>
      </c>
      <c r="D182" s="1">
        <v>486.95</v>
      </c>
      <c r="E182" s="2">
        <v>2146.98</v>
      </c>
      <c r="F182" s="2">
        <f>D182*E182</f>
      </c>
      <c r="G182" s="2">
        <f>F182*0.16</f>
      </c>
      <c r="H182" s="2">
        <f>F182+G182</f>
      </c>
    </row>
    <row r="183" spans="1:8" x14ac:dyDescent="0.25">
      <c r="A183" t="s">
        <v>365</v>
      </c>
      <c r="B183" t="s">
        <v>366</v>
      </c>
      <c r="C183" t="s">
        <v>23</v>
      </c>
      <c r="D183" s="1">
        <v>121.44</v>
      </c>
      <c r="E183" s="2">
        <v>1213.24</v>
      </c>
      <c r="F183" s="2">
        <f>D183*E183</f>
      </c>
      <c r="G183" s="2">
        <f>F183*0.16</f>
      </c>
      <c r="H183" s="2">
        <f>F183+G183</f>
      </c>
    </row>
    <row r="184" spans="1:8" s="8" customFormat="1" x14ac:dyDescent="0.25">
      <c r="A184" s="8" t="s">
        <v>46</v>
      </c>
      <c r="B184" s="8" t="s">
        <v>367</v>
      </c>
      <c r="C184" s="8" t="s">
        <v>46</v>
      </c>
      <c r="D184" s="9" t="s">
        <v>46</v>
      </c>
      <c r="E184" s="10" t="s">
        <v>46</v>
      </c>
      <c r="F184" s="10">
        <f>SUM(F159:F183)</f>
      </c>
      <c r="G184" s="10">
        <f>SUM(G159:G183)</f>
      </c>
      <c r="H184" s="10">
        <f>SUM(H159:H183)</f>
      </c>
    </row>
    <row r="185" spans="1:8" x14ac:dyDescent="0.25">
      <c r="A185" s="7" t="s">
        <v>368</v>
      </c>
      <c r="B185" s="7"/>
      <c r="C185" s="7"/>
      <c r="D185" s="7"/>
      <c r="E185" s="7"/>
      <c r="F185" s="7"/>
      <c r="G185" s="7"/>
      <c r="H185" s="7"/>
    </row>
    <row r="186" spans="1:8" x14ac:dyDescent="0.25">
      <c r="A186" t="s">
        <v>369</v>
      </c>
      <c r="B186" t="s">
        <v>370</v>
      </c>
      <c r="C186" t="s">
        <v>41</v>
      </c>
      <c r="D186" s="1">
        <v>178.43</v>
      </c>
      <c r="E186" s="2">
        <v>959.55</v>
      </c>
      <c r="F186" s="2">
        <f>D186*E186</f>
      </c>
      <c r="G186" s="2">
        <f>F186*0.16</f>
      </c>
      <c r="H186" s="2">
        <f>F186+G186</f>
      </c>
    </row>
    <row r="187" spans="1:8" x14ac:dyDescent="0.25">
      <c r="A187" t="s">
        <v>371</v>
      </c>
      <c r="B187" t="s">
        <v>372</v>
      </c>
      <c r="C187" t="s">
        <v>12</v>
      </c>
      <c r="D187" s="1">
        <v>480.47</v>
      </c>
      <c r="E187" s="2">
        <v>2886.2</v>
      </c>
      <c r="F187" s="2">
        <f>D187*E187</f>
      </c>
      <c r="G187" s="2">
        <f>F187*0.16</f>
      </c>
      <c r="H187" s="2">
        <f>F187+G187</f>
      </c>
    </row>
    <row r="188" spans="1:8" x14ac:dyDescent="0.25">
      <c r="A188" t="s">
        <v>373</v>
      </c>
      <c r="B188" t="s">
        <v>374</v>
      </c>
      <c r="C188" t="s">
        <v>15</v>
      </c>
      <c r="D188" s="1">
        <v>36.46</v>
      </c>
      <c r="E188" s="2">
        <v>830.21</v>
      </c>
      <c r="F188" s="2">
        <f>D188*E188</f>
      </c>
      <c r="G188" s="2">
        <f>F188*0.16</f>
      </c>
      <c r="H188" s="2">
        <f>F188+G188</f>
      </c>
    </row>
    <row r="189" spans="1:8" x14ac:dyDescent="0.25">
      <c r="A189" t="s">
        <v>375</v>
      </c>
      <c r="B189" t="s">
        <v>376</v>
      </c>
      <c r="C189" t="s">
        <v>23</v>
      </c>
      <c r="D189" s="1">
        <v>437.82</v>
      </c>
      <c r="E189" s="2">
        <v>1961.99</v>
      </c>
      <c r="F189" s="2">
        <f>D189*E189</f>
      </c>
      <c r="G189" s="2">
        <f>F189*0.16</f>
      </c>
      <c r="H189" s="2">
        <f>F189+G189</f>
      </c>
    </row>
    <row r="190" spans="1:8" x14ac:dyDescent="0.25">
      <c r="A190" t="s">
        <v>377</v>
      </c>
      <c r="B190" t="s">
        <v>378</v>
      </c>
      <c r="C190" t="s">
        <v>18</v>
      </c>
      <c r="D190" s="1">
        <v>429.72</v>
      </c>
      <c r="E190" s="2">
        <v>268.89</v>
      </c>
      <c r="F190" s="2">
        <f>D190*E190</f>
      </c>
      <c r="G190" s="2">
        <f>F190*0.16</f>
      </c>
      <c r="H190" s="2">
        <f>F190+G190</f>
      </c>
    </row>
    <row r="191" spans="1:8" x14ac:dyDescent="0.25">
      <c r="A191" t="s">
        <v>379</v>
      </c>
      <c r="B191" t="s">
        <v>380</v>
      </c>
      <c r="C191" t="s">
        <v>12</v>
      </c>
      <c r="D191" s="1">
        <v>182.65</v>
      </c>
      <c r="E191" s="2">
        <v>170.57</v>
      </c>
      <c r="F191" s="2">
        <f>D191*E191</f>
      </c>
      <c r="G191" s="2">
        <f>F191*0.16</f>
      </c>
      <c r="H191" s="2">
        <f>F191+G191</f>
      </c>
    </row>
    <row r="192" spans="1:8" x14ac:dyDescent="0.25">
      <c r="A192" t="s">
        <v>381</v>
      </c>
      <c r="B192" t="s">
        <v>382</v>
      </c>
      <c r="C192" t="s">
        <v>41</v>
      </c>
      <c r="D192" s="1">
        <v>53.03</v>
      </c>
      <c r="E192" s="2">
        <v>1118.71</v>
      </c>
      <c r="F192" s="2">
        <f>D192*E192</f>
      </c>
      <c r="G192" s="2">
        <f>F192*0.16</f>
      </c>
      <c r="H192" s="2">
        <f>F192+G192</f>
      </c>
    </row>
    <row r="193" spans="1:8" x14ac:dyDescent="0.25">
      <c r="A193" t="s">
        <v>383</v>
      </c>
      <c r="B193" t="s">
        <v>384</v>
      </c>
      <c r="C193" t="s">
        <v>23</v>
      </c>
      <c r="D193" s="1">
        <v>75.97</v>
      </c>
      <c r="E193" s="2">
        <v>815.26</v>
      </c>
      <c r="F193" s="2">
        <f>D193*E193</f>
      </c>
      <c r="G193" s="2">
        <f>F193*0.16</f>
      </c>
      <c r="H193" s="2">
        <f>F193+G193</f>
      </c>
    </row>
    <row r="194" spans="1:8" x14ac:dyDescent="0.25">
      <c r="A194" t="s">
        <v>385</v>
      </c>
      <c r="B194" t="s">
        <v>386</v>
      </c>
      <c r="C194" t="s">
        <v>12</v>
      </c>
      <c r="D194" s="1">
        <v>372.55</v>
      </c>
      <c r="E194" s="2">
        <v>2633.04</v>
      </c>
      <c r="F194" s="2">
        <f>D194*E194</f>
      </c>
      <c r="G194" s="2">
        <f>F194*0.16</f>
      </c>
      <c r="H194" s="2">
        <f>F194+G194</f>
      </c>
    </row>
    <row r="195" spans="1:8" x14ac:dyDescent="0.25">
      <c r="A195" t="s">
        <v>387</v>
      </c>
      <c r="B195" t="s">
        <v>388</v>
      </c>
      <c r="C195" t="s">
        <v>23</v>
      </c>
      <c r="D195" s="1">
        <v>325.57</v>
      </c>
      <c r="E195" s="2">
        <v>3647.89</v>
      </c>
      <c r="F195" s="2">
        <f>D195*E195</f>
      </c>
      <c r="G195" s="2">
        <f>F195*0.16</f>
      </c>
      <c r="H195" s="2">
        <f>F195+G195</f>
      </c>
    </row>
    <row r="196" spans="1:8" x14ac:dyDescent="0.25">
      <c r="A196" t="s">
        <v>389</v>
      </c>
      <c r="B196" t="s">
        <v>390</v>
      </c>
      <c r="C196" t="s">
        <v>23</v>
      </c>
      <c r="D196" s="1">
        <v>426.58</v>
      </c>
      <c r="E196" s="2">
        <v>1604.28</v>
      </c>
      <c r="F196" s="2">
        <f>D196*E196</f>
      </c>
      <c r="G196" s="2">
        <f>F196*0.16</f>
      </c>
      <c r="H196" s="2">
        <f>F196+G196</f>
      </c>
    </row>
    <row r="197" spans="1:8" x14ac:dyDescent="0.25">
      <c r="A197" t="s">
        <v>391</v>
      </c>
      <c r="B197" t="s">
        <v>392</v>
      </c>
      <c r="C197" t="s">
        <v>18</v>
      </c>
      <c r="D197" s="1">
        <v>469.56</v>
      </c>
      <c r="E197" s="2">
        <v>625.07</v>
      </c>
      <c r="F197" s="2">
        <f>D197*E197</f>
      </c>
      <c r="G197" s="2">
        <f>F197*0.16</f>
      </c>
      <c r="H197" s="2">
        <f>F197+G197</f>
      </c>
    </row>
    <row r="198" spans="1:8" x14ac:dyDescent="0.25">
      <c r="A198" t="s">
        <v>393</v>
      </c>
      <c r="B198" t="s">
        <v>394</v>
      </c>
      <c r="C198" t="s">
        <v>18</v>
      </c>
      <c r="D198" s="1">
        <v>321.24</v>
      </c>
      <c r="E198" s="2">
        <v>4737.76</v>
      </c>
      <c r="F198" s="2">
        <f>D198*E198</f>
      </c>
      <c r="G198" s="2">
        <f>F198*0.16</f>
      </c>
      <c r="H198" s="2">
        <f>F198+G198</f>
      </c>
    </row>
    <row r="199" spans="1:8" x14ac:dyDescent="0.25">
      <c r="A199" t="s">
        <v>395</v>
      </c>
      <c r="B199" t="s">
        <v>396</v>
      </c>
      <c r="C199" t="s">
        <v>12</v>
      </c>
      <c r="D199" s="1">
        <v>142.7</v>
      </c>
      <c r="E199" s="2">
        <v>1951.97</v>
      </c>
      <c r="F199" s="2">
        <f>D199*E199</f>
      </c>
      <c r="G199" s="2">
        <f>F199*0.16</f>
      </c>
      <c r="H199" s="2">
        <f>F199+G199</f>
      </c>
    </row>
    <row r="200" spans="1:8" x14ac:dyDescent="0.25">
      <c r="A200" t="s">
        <v>397</v>
      </c>
      <c r="B200" t="s">
        <v>398</v>
      </c>
      <c r="C200" t="s">
        <v>12</v>
      </c>
      <c r="D200" s="1">
        <v>65.88</v>
      </c>
      <c r="E200" s="2">
        <v>2914.49</v>
      </c>
      <c r="F200" s="2">
        <f>D200*E200</f>
      </c>
      <c r="G200" s="2">
        <f>F200*0.16</f>
      </c>
      <c r="H200" s="2">
        <f>F200+G200</f>
      </c>
    </row>
    <row r="201" spans="1:8" x14ac:dyDescent="0.25">
      <c r="A201" t="s">
        <v>399</v>
      </c>
      <c r="B201" t="s">
        <v>400</v>
      </c>
      <c r="C201" t="s">
        <v>18</v>
      </c>
      <c r="D201" s="1">
        <v>18.38</v>
      </c>
      <c r="E201" s="2">
        <v>815.94</v>
      </c>
      <c r="F201" s="2">
        <f>D201*E201</f>
      </c>
      <c r="G201" s="2">
        <f>F201*0.16</f>
      </c>
      <c r="H201" s="2">
        <f>F201+G201</f>
      </c>
    </row>
    <row r="202" spans="1:8" x14ac:dyDescent="0.25">
      <c r="A202" t="s">
        <v>401</v>
      </c>
      <c r="B202" t="s">
        <v>402</v>
      </c>
      <c r="C202" t="s">
        <v>15</v>
      </c>
      <c r="D202" s="1">
        <v>329.74</v>
      </c>
      <c r="E202" s="2">
        <v>3906.3</v>
      </c>
      <c r="F202" s="2">
        <f>D202*E202</f>
      </c>
      <c r="G202" s="2">
        <f>F202*0.16</f>
      </c>
      <c r="H202" s="2">
        <f>F202+G202</f>
      </c>
    </row>
    <row r="203" spans="1:8" x14ac:dyDescent="0.25">
      <c r="A203" t="s">
        <v>403</v>
      </c>
      <c r="B203" t="s">
        <v>404</v>
      </c>
      <c r="C203" t="s">
        <v>23</v>
      </c>
      <c r="D203" s="1">
        <v>395.85</v>
      </c>
      <c r="E203" s="2">
        <v>3488.18</v>
      </c>
      <c r="F203" s="2">
        <f>D203*E203</f>
      </c>
      <c r="G203" s="2">
        <f>F203*0.16</f>
      </c>
      <c r="H203" s="2">
        <f>F203+G203</f>
      </c>
    </row>
    <row r="204" spans="1:8" x14ac:dyDescent="0.25">
      <c r="A204" t="s">
        <v>405</v>
      </c>
      <c r="B204" t="s">
        <v>406</v>
      </c>
      <c r="C204" t="s">
        <v>12</v>
      </c>
      <c r="D204" s="1">
        <v>24.93</v>
      </c>
      <c r="E204" s="2">
        <v>3009.29</v>
      </c>
      <c r="F204" s="2">
        <f>D204*E204</f>
      </c>
      <c r="G204" s="2">
        <f>F204*0.16</f>
      </c>
      <c r="H204" s="2">
        <f>F204+G204</f>
      </c>
    </row>
    <row r="205" spans="1:8" x14ac:dyDescent="0.25">
      <c r="A205" t="s">
        <v>407</v>
      </c>
      <c r="B205" t="s">
        <v>408</v>
      </c>
      <c r="C205" t="s">
        <v>41</v>
      </c>
      <c r="D205" s="1">
        <v>33.51</v>
      </c>
      <c r="E205" s="2">
        <v>4701.62</v>
      </c>
      <c r="F205" s="2">
        <f>D205*E205</f>
      </c>
      <c r="G205" s="2">
        <f>F205*0.16</f>
      </c>
      <c r="H205" s="2">
        <f>F205+G205</f>
      </c>
    </row>
    <row r="206" spans="1:8" x14ac:dyDescent="0.25">
      <c r="A206" t="s">
        <v>409</v>
      </c>
      <c r="B206" t="s">
        <v>410</v>
      </c>
      <c r="C206" t="s">
        <v>15</v>
      </c>
      <c r="D206" s="1">
        <v>359.73</v>
      </c>
      <c r="E206" s="2">
        <v>2495.78</v>
      </c>
      <c r="F206" s="2">
        <f>D206*E206</f>
      </c>
      <c r="G206" s="2">
        <f>F206*0.16</f>
      </c>
      <c r="H206" s="2">
        <f>F206+G206</f>
      </c>
    </row>
    <row r="207" spans="1:8" x14ac:dyDescent="0.25">
      <c r="A207" t="s">
        <v>411</v>
      </c>
      <c r="B207" t="s">
        <v>412</v>
      </c>
      <c r="C207" t="s">
        <v>18</v>
      </c>
      <c r="D207" s="1">
        <v>325.44</v>
      </c>
      <c r="E207" s="2">
        <v>726.99</v>
      </c>
      <c r="F207" s="2">
        <f>D207*E207</f>
      </c>
      <c r="G207" s="2">
        <f>F207*0.16</f>
      </c>
      <c r="H207" s="2">
        <f>F207+G207</f>
      </c>
    </row>
    <row r="208" spans="1:8" x14ac:dyDescent="0.25">
      <c r="A208" t="s">
        <v>413</v>
      </c>
      <c r="B208" t="s">
        <v>414</v>
      </c>
      <c r="C208" t="s">
        <v>12</v>
      </c>
      <c r="D208" s="1">
        <v>185.88</v>
      </c>
      <c r="E208" s="2">
        <v>889.65</v>
      </c>
      <c r="F208" s="2">
        <f>D208*E208</f>
      </c>
      <c r="G208" s="2">
        <f>F208*0.16</f>
      </c>
      <c r="H208" s="2">
        <f>F208+G208</f>
      </c>
    </row>
    <row r="209" spans="1:8" x14ac:dyDescent="0.25">
      <c r="A209" t="s">
        <v>415</v>
      </c>
      <c r="B209" t="s">
        <v>416</v>
      </c>
      <c r="C209" t="s">
        <v>34</v>
      </c>
      <c r="D209" s="1">
        <v>228.95</v>
      </c>
      <c r="E209" s="2">
        <v>1130.46</v>
      </c>
      <c r="F209" s="2">
        <f>D209*E209</f>
      </c>
      <c r="G209" s="2">
        <f>F209*0.16</f>
      </c>
      <c r="H209" s="2">
        <f>F209+G209</f>
      </c>
    </row>
    <row r="210" spans="1:8" x14ac:dyDescent="0.25">
      <c r="A210" t="s">
        <v>417</v>
      </c>
      <c r="B210" t="s">
        <v>418</v>
      </c>
      <c r="C210" t="s">
        <v>12</v>
      </c>
      <c r="D210" s="1">
        <v>52.62</v>
      </c>
      <c r="E210" s="2">
        <v>1818.21</v>
      </c>
      <c r="F210" s="2">
        <f>D210*E210</f>
      </c>
      <c r="G210" s="2">
        <f>F210*0.16</f>
      </c>
      <c r="H210" s="2">
        <f>F210+G210</f>
      </c>
    </row>
    <row r="211" spans="1:8" x14ac:dyDescent="0.25">
      <c r="A211" t="s">
        <v>419</v>
      </c>
      <c r="B211" t="s">
        <v>420</v>
      </c>
      <c r="C211" t="s">
        <v>41</v>
      </c>
      <c r="D211" s="1">
        <v>349.76</v>
      </c>
      <c r="E211" s="2">
        <v>3180.1</v>
      </c>
      <c r="F211" s="2">
        <f>D211*E211</f>
      </c>
      <c r="G211" s="2">
        <f>F211*0.16</f>
      </c>
      <c r="H211" s="2">
        <f>F211+G211</f>
      </c>
    </row>
    <row r="212" spans="1:8" x14ac:dyDescent="0.25">
      <c r="A212" t="s">
        <v>421</v>
      </c>
      <c r="B212" t="s">
        <v>422</v>
      </c>
      <c r="C212" t="s">
        <v>23</v>
      </c>
      <c r="D212" s="1">
        <v>36.04</v>
      </c>
      <c r="E212" s="2">
        <v>1938.94</v>
      </c>
      <c r="F212" s="2">
        <f>D212*E212</f>
      </c>
      <c r="G212" s="2">
        <f>F212*0.16</f>
      </c>
      <c r="H212" s="2">
        <f>F212+G212</f>
      </c>
    </row>
    <row r="213" spans="1:8" x14ac:dyDescent="0.25">
      <c r="A213" t="s">
        <v>423</v>
      </c>
      <c r="B213" t="s">
        <v>424</v>
      </c>
      <c r="C213" t="s">
        <v>23</v>
      </c>
      <c r="D213" s="1">
        <v>439.25</v>
      </c>
      <c r="E213" s="2">
        <v>3412.45</v>
      </c>
      <c r="F213" s="2">
        <f>D213*E213</f>
      </c>
      <c r="G213" s="2">
        <f>F213*0.16</f>
      </c>
      <c r="H213" s="2">
        <f>F213+G213</f>
      </c>
    </row>
    <row r="214" spans="1:8" x14ac:dyDescent="0.25">
      <c r="A214" t="s">
        <v>425</v>
      </c>
      <c r="B214" t="s">
        <v>426</v>
      </c>
      <c r="C214" t="s">
        <v>41</v>
      </c>
      <c r="D214" s="1">
        <v>39.09</v>
      </c>
      <c r="E214" s="2">
        <v>1959.46</v>
      </c>
      <c r="F214" s="2">
        <f>D214*E214</f>
      </c>
      <c r="G214" s="2">
        <f>F214*0.16</f>
      </c>
      <c r="H214" s="2">
        <f>F214+G214</f>
      </c>
    </row>
    <row r="215" spans="1:8" x14ac:dyDescent="0.25">
      <c r="A215" t="s">
        <v>427</v>
      </c>
      <c r="B215" t="s">
        <v>428</v>
      </c>
      <c r="C215" t="s">
        <v>34</v>
      </c>
      <c r="D215" s="1">
        <v>2.72</v>
      </c>
      <c r="E215" s="2">
        <v>1108.14</v>
      </c>
      <c r="F215" s="2">
        <f>D215*E215</f>
      </c>
      <c r="G215" s="2">
        <f>F215*0.16</f>
      </c>
      <c r="H215" s="2">
        <f>F215+G215</f>
      </c>
    </row>
    <row r="216" spans="1:8" x14ac:dyDescent="0.25">
      <c r="A216" t="s">
        <v>429</v>
      </c>
      <c r="B216" t="s">
        <v>430</v>
      </c>
      <c r="C216" t="s">
        <v>18</v>
      </c>
      <c r="D216" s="1">
        <v>75.05</v>
      </c>
      <c r="E216" s="2">
        <v>3445.88</v>
      </c>
      <c r="F216" s="2">
        <f>D216*E216</f>
      </c>
      <c r="G216" s="2">
        <f>F216*0.16</f>
      </c>
      <c r="H216" s="2">
        <f>F216+G216</f>
      </c>
    </row>
    <row r="217" spans="1:8" x14ac:dyDescent="0.25">
      <c r="A217" t="s">
        <v>431</v>
      </c>
      <c r="B217" t="s">
        <v>432</v>
      </c>
      <c r="C217" t="s">
        <v>15</v>
      </c>
      <c r="D217" s="1">
        <v>134.51</v>
      </c>
      <c r="E217" s="2">
        <v>659.05</v>
      </c>
      <c r="F217" s="2">
        <f>D217*E217</f>
      </c>
      <c r="G217" s="2">
        <f>F217*0.16</f>
      </c>
      <c r="H217" s="2">
        <f>F217+G217</f>
      </c>
    </row>
    <row r="218" spans="1:8" x14ac:dyDescent="0.25">
      <c r="A218" t="s">
        <v>433</v>
      </c>
      <c r="B218" t="s">
        <v>434</v>
      </c>
      <c r="C218" t="s">
        <v>12</v>
      </c>
      <c r="D218" s="1">
        <v>319.19</v>
      </c>
      <c r="E218" s="2">
        <v>2054.75</v>
      </c>
      <c r="F218" s="2">
        <f>D218*E218</f>
      </c>
      <c r="G218" s="2">
        <f>F218*0.16</f>
      </c>
      <c r="H218" s="2">
        <f>F218+G218</f>
      </c>
    </row>
    <row r="219" spans="1:8" x14ac:dyDescent="0.25">
      <c r="A219" t="s">
        <v>435</v>
      </c>
      <c r="B219" t="s">
        <v>436</v>
      </c>
      <c r="C219" t="s">
        <v>15</v>
      </c>
      <c r="D219" s="1">
        <v>142.04</v>
      </c>
      <c r="E219" s="2">
        <v>1466.99</v>
      </c>
      <c r="F219" s="2">
        <f>D219*E219</f>
      </c>
      <c r="G219" s="2">
        <f>F219*0.16</f>
      </c>
      <c r="H219" s="2">
        <f>F219+G219</f>
      </c>
    </row>
    <row r="220" spans="1:8" x14ac:dyDescent="0.25">
      <c r="A220" t="s">
        <v>437</v>
      </c>
      <c r="B220" t="s">
        <v>438</v>
      </c>
      <c r="C220" t="s">
        <v>23</v>
      </c>
      <c r="D220" s="1">
        <v>18.48</v>
      </c>
      <c r="E220" s="2">
        <v>205.44</v>
      </c>
      <c r="F220" s="2">
        <f>D220*E220</f>
      </c>
      <c r="G220" s="2">
        <f>F220*0.16</f>
      </c>
      <c r="H220" s="2">
        <f>F220+G220</f>
      </c>
    </row>
    <row r="221" spans="1:8" x14ac:dyDescent="0.25">
      <c r="A221" t="s">
        <v>439</v>
      </c>
      <c r="B221" t="s">
        <v>440</v>
      </c>
      <c r="C221" t="s">
        <v>18</v>
      </c>
      <c r="D221" s="1">
        <v>389.76</v>
      </c>
      <c r="E221" s="2">
        <v>3246.02</v>
      </c>
      <c r="F221" s="2">
        <f>D221*E221</f>
      </c>
      <c r="G221" s="2">
        <f>F221*0.16</f>
      </c>
      <c r="H221" s="2">
        <f>F221+G221</f>
      </c>
    </row>
    <row r="222" spans="1:8" x14ac:dyDescent="0.25">
      <c r="A222" t="s">
        <v>441</v>
      </c>
      <c r="B222" t="s">
        <v>442</v>
      </c>
      <c r="C222" t="s">
        <v>41</v>
      </c>
      <c r="D222" s="1">
        <v>31.84</v>
      </c>
      <c r="E222" s="2">
        <v>4790.83</v>
      </c>
      <c r="F222" s="2">
        <f>D222*E222</f>
      </c>
      <c r="G222" s="2">
        <f>F222*0.16</f>
      </c>
      <c r="H222" s="2">
        <f>F222+G222</f>
      </c>
    </row>
    <row r="223" spans="1:8" x14ac:dyDescent="0.25">
      <c r="A223" t="s">
        <v>443</v>
      </c>
      <c r="B223" t="s">
        <v>444</v>
      </c>
      <c r="C223" t="s">
        <v>34</v>
      </c>
      <c r="D223" s="1">
        <v>260.82</v>
      </c>
      <c r="E223" s="2">
        <v>3781.45</v>
      </c>
      <c r="F223" s="2">
        <f>D223*E223</f>
      </c>
      <c r="G223" s="2">
        <f>F223*0.16</f>
      </c>
      <c r="H223" s="2">
        <f>F223+G223</f>
      </c>
    </row>
    <row r="224" spans="1:8" x14ac:dyDescent="0.25">
      <c r="A224" t="s">
        <v>445</v>
      </c>
      <c r="B224" t="s">
        <v>446</v>
      </c>
      <c r="C224" t="s">
        <v>41</v>
      </c>
      <c r="D224" s="1">
        <v>301.91</v>
      </c>
      <c r="E224" s="2">
        <v>1241.68</v>
      </c>
      <c r="F224" s="2">
        <f>D224*E224</f>
      </c>
      <c r="G224" s="2">
        <f>F224*0.16</f>
      </c>
      <c r="H224" s="2">
        <f>F224+G224</f>
      </c>
    </row>
    <row r="225" spans="1:8" x14ac:dyDescent="0.25">
      <c r="A225" t="s">
        <v>447</v>
      </c>
      <c r="B225" t="s">
        <v>448</v>
      </c>
      <c r="C225" t="s">
        <v>12</v>
      </c>
      <c r="D225" s="1">
        <v>55.06</v>
      </c>
      <c r="E225" s="2">
        <v>3510.43</v>
      </c>
      <c r="F225" s="2">
        <f>D225*E225</f>
      </c>
      <c r="G225" s="2">
        <f>F225*0.16</f>
      </c>
      <c r="H225" s="2">
        <f>F225+G225</f>
      </c>
    </row>
    <row r="226" spans="1:8" x14ac:dyDescent="0.25">
      <c r="A226" t="s">
        <v>449</v>
      </c>
      <c r="B226" t="s">
        <v>450</v>
      </c>
      <c r="C226" t="s">
        <v>12</v>
      </c>
      <c r="D226" s="1">
        <v>453.78</v>
      </c>
      <c r="E226" s="2">
        <v>226.3</v>
      </c>
      <c r="F226" s="2">
        <f>D226*E226</f>
      </c>
      <c r="G226" s="2">
        <f>F226*0.16</f>
      </c>
      <c r="H226" s="2">
        <f>F226+G226</f>
      </c>
    </row>
    <row r="227" spans="1:8" x14ac:dyDescent="0.25">
      <c r="A227" t="s">
        <v>451</v>
      </c>
      <c r="B227" t="s">
        <v>452</v>
      </c>
      <c r="C227" t="s">
        <v>41</v>
      </c>
      <c r="D227" s="1">
        <v>11.2</v>
      </c>
      <c r="E227" s="2">
        <v>4164.99</v>
      </c>
      <c r="F227" s="2">
        <f>D227*E227</f>
      </c>
      <c r="G227" s="2">
        <f>F227*0.16</f>
      </c>
      <c r="H227" s="2">
        <f>F227+G227</f>
      </c>
    </row>
    <row r="228" spans="1:8" x14ac:dyDescent="0.25">
      <c r="A228" t="s">
        <v>453</v>
      </c>
      <c r="B228" t="s">
        <v>454</v>
      </c>
      <c r="C228" t="s">
        <v>41</v>
      </c>
      <c r="D228" s="1">
        <v>436.72</v>
      </c>
      <c r="E228" s="2">
        <v>666.26</v>
      </c>
      <c r="F228" s="2">
        <f>D228*E228</f>
      </c>
      <c r="G228" s="2">
        <f>F228*0.16</f>
      </c>
      <c r="H228" s="2">
        <f>F228+G228</f>
      </c>
    </row>
    <row r="229" spans="1:8" x14ac:dyDescent="0.25">
      <c r="A229" t="s">
        <v>455</v>
      </c>
      <c r="B229" t="s">
        <v>456</v>
      </c>
      <c r="C229" t="s">
        <v>18</v>
      </c>
      <c r="D229" s="1">
        <v>327.66</v>
      </c>
      <c r="E229" s="2">
        <v>4976.82</v>
      </c>
      <c r="F229" s="2">
        <f>D229*E229</f>
      </c>
      <c r="G229" s="2">
        <f>F229*0.16</f>
      </c>
      <c r="H229" s="2">
        <f>F229+G229</f>
      </c>
    </row>
    <row r="230" spans="1:8" x14ac:dyDescent="0.25">
      <c r="A230" t="s">
        <v>457</v>
      </c>
      <c r="B230" t="s">
        <v>458</v>
      </c>
      <c r="C230" t="s">
        <v>15</v>
      </c>
      <c r="D230" s="1">
        <v>63.09</v>
      </c>
      <c r="E230" s="2">
        <v>1715</v>
      </c>
      <c r="F230" s="2">
        <f>D230*E230</f>
      </c>
      <c r="G230" s="2">
        <f>F230*0.16</f>
      </c>
      <c r="H230" s="2">
        <f>F230+G230</f>
      </c>
    </row>
    <row r="231" spans="1:8" s="8" customFormat="1" x14ac:dyDescent="0.25">
      <c r="A231" s="8" t="s">
        <v>46</v>
      </c>
      <c r="B231" s="8" t="s">
        <v>459</v>
      </c>
      <c r="C231" s="8" t="s">
        <v>46</v>
      </c>
      <c r="D231" s="9" t="s">
        <v>46</v>
      </c>
      <c r="E231" s="10" t="s">
        <v>46</v>
      </c>
      <c r="F231" s="10">
        <f>SUM(F186:F230)</f>
      </c>
      <c r="G231" s="10">
        <f>SUM(G186:G230)</f>
      </c>
      <c r="H231" s="10">
        <f>SUM(H186:H230)</f>
      </c>
    </row>
    <row r="232" spans="1:8" x14ac:dyDescent="0.25">
      <c r="A232" s="7" t="s">
        <v>460</v>
      </c>
      <c r="B232" s="7"/>
      <c r="C232" s="7"/>
      <c r="D232" s="7"/>
      <c r="E232" s="7"/>
      <c r="F232" s="7"/>
      <c r="G232" s="7"/>
      <c r="H232" s="7"/>
    </row>
    <row r="233" spans="1:8" x14ac:dyDescent="0.25">
      <c r="A233" t="s">
        <v>461</v>
      </c>
      <c r="B233" t="s">
        <v>462</v>
      </c>
      <c r="C233" t="s">
        <v>18</v>
      </c>
      <c r="D233" s="1">
        <v>408.64</v>
      </c>
      <c r="E233" s="2">
        <v>4305.45</v>
      </c>
      <c r="F233" s="2">
        <f>D233*E233</f>
      </c>
      <c r="G233" s="2">
        <f>F233*0.16</f>
      </c>
      <c r="H233" s="2">
        <f>F233+G233</f>
      </c>
    </row>
    <row r="234" spans="1:8" x14ac:dyDescent="0.25">
      <c r="A234" t="s">
        <v>463</v>
      </c>
      <c r="B234" t="s">
        <v>464</v>
      </c>
      <c r="C234" t="s">
        <v>34</v>
      </c>
      <c r="D234" s="1">
        <v>266.41</v>
      </c>
      <c r="E234" s="2">
        <v>637.58</v>
      </c>
      <c r="F234" s="2">
        <f>D234*E234</f>
      </c>
      <c r="G234" s="2">
        <f>F234*0.16</f>
      </c>
      <c r="H234" s="2">
        <f>F234+G234</f>
      </c>
    </row>
    <row r="235" spans="1:8" x14ac:dyDescent="0.25">
      <c r="A235" t="s">
        <v>465</v>
      </c>
      <c r="B235" t="s">
        <v>466</v>
      </c>
      <c r="C235" t="s">
        <v>41</v>
      </c>
      <c r="D235" s="1">
        <v>452.56</v>
      </c>
      <c r="E235" s="2">
        <v>725.43</v>
      </c>
      <c r="F235" s="2">
        <f>D235*E235</f>
      </c>
      <c r="G235" s="2">
        <f>F235*0.16</f>
      </c>
      <c r="H235" s="2">
        <f>F235+G235</f>
      </c>
    </row>
    <row r="236" spans="1:8" x14ac:dyDescent="0.25">
      <c r="A236" t="s">
        <v>467</v>
      </c>
      <c r="B236" t="s">
        <v>468</v>
      </c>
      <c r="C236" t="s">
        <v>23</v>
      </c>
      <c r="D236" s="1">
        <v>423.92</v>
      </c>
      <c r="E236" s="2">
        <v>623.02</v>
      </c>
      <c r="F236" s="2">
        <f>D236*E236</f>
      </c>
      <c r="G236" s="2">
        <f>F236*0.16</f>
      </c>
      <c r="H236" s="2">
        <f>F236+G236</f>
      </c>
    </row>
    <row r="237" spans="1:8" x14ac:dyDescent="0.25">
      <c r="A237" t="s">
        <v>469</v>
      </c>
      <c r="B237" t="s">
        <v>470</v>
      </c>
      <c r="C237" t="s">
        <v>12</v>
      </c>
      <c r="D237" s="1">
        <v>98.73</v>
      </c>
      <c r="E237" s="2">
        <v>1451.87</v>
      </c>
      <c r="F237" s="2">
        <f>D237*E237</f>
      </c>
      <c r="G237" s="2">
        <f>F237*0.16</f>
      </c>
      <c r="H237" s="2">
        <f>F237+G237</f>
      </c>
    </row>
    <row r="238" spans="1:8" x14ac:dyDescent="0.25">
      <c r="A238" t="s">
        <v>471</v>
      </c>
      <c r="B238" t="s">
        <v>472</v>
      </c>
      <c r="C238" t="s">
        <v>15</v>
      </c>
      <c r="D238" s="1">
        <v>315.11</v>
      </c>
      <c r="E238" s="2">
        <v>954.06</v>
      </c>
      <c r="F238" s="2">
        <f>D238*E238</f>
      </c>
      <c r="G238" s="2">
        <f>F238*0.16</f>
      </c>
      <c r="H238" s="2">
        <f>F238+G238</f>
      </c>
    </row>
    <row r="239" spans="1:8" x14ac:dyDescent="0.25">
      <c r="A239" t="s">
        <v>473</v>
      </c>
      <c r="B239" t="s">
        <v>474</v>
      </c>
      <c r="C239" t="s">
        <v>12</v>
      </c>
      <c r="D239" s="1">
        <v>25.79</v>
      </c>
      <c r="E239" s="2">
        <v>817.12</v>
      </c>
      <c r="F239" s="2">
        <f>D239*E239</f>
      </c>
      <c r="G239" s="2">
        <f>F239*0.16</f>
      </c>
      <c r="H239" s="2">
        <f>F239+G239</f>
      </c>
    </row>
    <row r="240" spans="1:8" x14ac:dyDescent="0.25">
      <c r="A240" t="s">
        <v>475</v>
      </c>
      <c r="B240" t="s">
        <v>476</v>
      </c>
      <c r="C240" t="s">
        <v>41</v>
      </c>
      <c r="D240" s="1">
        <v>475.45</v>
      </c>
      <c r="E240" s="2">
        <v>1848.58</v>
      </c>
      <c r="F240" s="2">
        <f>D240*E240</f>
      </c>
      <c r="G240" s="2">
        <f>F240*0.16</f>
      </c>
      <c r="H240" s="2">
        <f>F240+G240</f>
      </c>
    </row>
    <row r="241" spans="1:8" x14ac:dyDescent="0.25">
      <c r="A241" t="s">
        <v>477</v>
      </c>
      <c r="B241" t="s">
        <v>478</v>
      </c>
      <c r="C241" t="s">
        <v>18</v>
      </c>
      <c r="D241" s="1">
        <v>281.64</v>
      </c>
      <c r="E241" s="2">
        <v>3243.45</v>
      </c>
      <c r="F241" s="2">
        <f>D241*E241</f>
      </c>
      <c r="G241" s="2">
        <f>F241*0.16</f>
      </c>
      <c r="H241" s="2">
        <f>F241+G241</f>
      </c>
    </row>
    <row r="242" spans="1:8" x14ac:dyDescent="0.25">
      <c r="A242" t="s">
        <v>479</v>
      </c>
      <c r="B242" t="s">
        <v>480</v>
      </c>
      <c r="C242" t="s">
        <v>34</v>
      </c>
      <c r="D242" s="1">
        <v>332.3</v>
      </c>
      <c r="E242" s="2">
        <v>75.64</v>
      </c>
      <c r="F242" s="2">
        <f>D242*E242</f>
      </c>
      <c r="G242" s="2">
        <f>F242*0.16</f>
      </c>
      <c r="H242" s="2">
        <f>F242+G242</f>
      </c>
    </row>
    <row r="243" spans="1:8" x14ac:dyDescent="0.25">
      <c r="A243" t="s">
        <v>481</v>
      </c>
      <c r="B243" t="s">
        <v>482</v>
      </c>
      <c r="C243" t="s">
        <v>12</v>
      </c>
      <c r="D243" s="1">
        <v>372.6</v>
      </c>
      <c r="E243" s="2">
        <v>2703.47</v>
      </c>
      <c r="F243" s="2">
        <f>D243*E243</f>
      </c>
      <c r="G243" s="2">
        <f>F243*0.16</f>
      </c>
      <c r="H243" s="2">
        <f>F243+G243</f>
      </c>
    </row>
    <row r="244" spans="1:8" x14ac:dyDescent="0.25">
      <c r="A244" t="s">
        <v>483</v>
      </c>
      <c r="B244" t="s">
        <v>484</v>
      </c>
      <c r="C244" t="s">
        <v>34</v>
      </c>
      <c r="D244" s="1">
        <v>361.88</v>
      </c>
      <c r="E244" s="2">
        <v>2242.61</v>
      </c>
      <c r="F244" s="2">
        <f>D244*E244</f>
      </c>
      <c r="G244" s="2">
        <f>F244*0.16</f>
      </c>
      <c r="H244" s="2">
        <f>F244+G244</f>
      </c>
    </row>
    <row r="245" spans="1:8" x14ac:dyDescent="0.25">
      <c r="A245" t="s">
        <v>485</v>
      </c>
      <c r="B245" t="s">
        <v>486</v>
      </c>
      <c r="C245" t="s">
        <v>41</v>
      </c>
      <c r="D245" s="1">
        <v>96.85</v>
      </c>
      <c r="E245" s="2">
        <v>4302.11</v>
      </c>
      <c r="F245" s="2">
        <f>D245*E245</f>
      </c>
      <c r="G245" s="2">
        <f>F245*0.16</f>
      </c>
      <c r="H245" s="2">
        <f>F245+G245</f>
      </c>
    </row>
    <row r="246" spans="1:8" x14ac:dyDescent="0.25">
      <c r="A246" t="s">
        <v>487</v>
      </c>
      <c r="B246" t="s">
        <v>488</v>
      </c>
      <c r="C246" t="s">
        <v>23</v>
      </c>
      <c r="D246" s="1">
        <v>499.72</v>
      </c>
      <c r="E246" s="2">
        <v>4532.18</v>
      </c>
      <c r="F246" s="2">
        <f>D246*E246</f>
      </c>
      <c r="G246" s="2">
        <f>F246*0.16</f>
      </c>
      <c r="H246" s="2">
        <f>F246+G246</f>
      </c>
    </row>
    <row r="247" spans="1:8" x14ac:dyDescent="0.25">
      <c r="A247" t="s">
        <v>489</v>
      </c>
      <c r="B247" t="s">
        <v>490</v>
      </c>
      <c r="C247" t="s">
        <v>18</v>
      </c>
      <c r="D247" s="1">
        <v>152.17</v>
      </c>
      <c r="E247" s="2">
        <v>4080.65</v>
      </c>
      <c r="F247" s="2">
        <f>D247*E247</f>
      </c>
      <c r="G247" s="2">
        <f>F247*0.16</f>
      </c>
      <c r="H247" s="2">
        <f>F247+G247</f>
      </c>
    </row>
    <row r="248" spans="1:8" x14ac:dyDescent="0.25">
      <c r="A248" t="s">
        <v>491</v>
      </c>
      <c r="B248" t="s">
        <v>492</v>
      </c>
      <c r="C248" t="s">
        <v>34</v>
      </c>
      <c r="D248" s="1">
        <v>19.81</v>
      </c>
      <c r="E248" s="2">
        <v>4281.34</v>
      </c>
      <c r="F248" s="2">
        <f>D248*E248</f>
      </c>
      <c r="G248" s="2">
        <f>F248*0.16</f>
      </c>
      <c r="H248" s="2">
        <f>F248+G248</f>
      </c>
    </row>
    <row r="249" spans="1:8" x14ac:dyDescent="0.25">
      <c r="A249" t="s">
        <v>493</v>
      </c>
      <c r="B249" t="s">
        <v>494</v>
      </c>
      <c r="C249" t="s">
        <v>12</v>
      </c>
      <c r="D249" s="1">
        <v>30.21</v>
      </c>
      <c r="E249" s="2">
        <v>1746.08</v>
      </c>
      <c r="F249" s="2">
        <f>D249*E249</f>
      </c>
      <c r="G249" s="2">
        <f>F249*0.16</f>
      </c>
      <c r="H249" s="2">
        <f>F249+G249</f>
      </c>
    </row>
    <row r="250" spans="1:8" x14ac:dyDescent="0.25">
      <c r="A250" t="s">
        <v>495</v>
      </c>
      <c r="B250" t="s">
        <v>496</v>
      </c>
      <c r="C250" t="s">
        <v>12</v>
      </c>
      <c r="D250" s="1">
        <v>321.82</v>
      </c>
      <c r="E250" s="2">
        <v>4927.82</v>
      </c>
      <c r="F250" s="2">
        <f>D250*E250</f>
      </c>
      <c r="G250" s="2">
        <f>F250*0.16</f>
      </c>
      <c r="H250" s="2">
        <f>F250+G250</f>
      </c>
    </row>
    <row r="251" spans="1:8" x14ac:dyDescent="0.25">
      <c r="A251" t="s">
        <v>497</v>
      </c>
      <c r="B251" t="s">
        <v>498</v>
      </c>
      <c r="C251" t="s">
        <v>15</v>
      </c>
      <c r="D251" s="1">
        <v>404.93</v>
      </c>
      <c r="E251" s="2">
        <v>4796.93</v>
      </c>
      <c r="F251" s="2">
        <f>D251*E251</f>
      </c>
      <c r="G251" s="2">
        <f>F251*0.16</f>
      </c>
      <c r="H251" s="2">
        <f>F251+G251</f>
      </c>
    </row>
    <row r="252" spans="1:8" x14ac:dyDescent="0.25">
      <c r="A252" t="s">
        <v>499</v>
      </c>
      <c r="B252" t="s">
        <v>500</v>
      </c>
      <c r="C252" t="s">
        <v>18</v>
      </c>
      <c r="D252" s="1">
        <v>236.39</v>
      </c>
      <c r="E252" s="2">
        <v>4695.91</v>
      </c>
      <c r="F252" s="2">
        <f>D252*E252</f>
      </c>
      <c r="G252" s="2">
        <f>F252*0.16</f>
      </c>
      <c r="H252" s="2">
        <f>F252+G252</f>
      </c>
    </row>
    <row r="253" spans="1:8" x14ac:dyDescent="0.25">
      <c r="A253" t="s">
        <v>501</v>
      </c>
      <c r="B253" t="s">
        <v>502</v>
      </c>
      <c r="C253" t="s">
        <v>23</v>
      </c>
      <c r="D253" s="1">
        <v>170.63</v>
      </c>
      <c r="E253" s="2">
        <v>665.93</v>
      </c>
      <c r="F253" s="2">
        <f>D253*E253</f>
      </c>
      <c r="G253" s="2">
        <f>F253*0.16</f>
      </c>
      <c r="H253" s="2">
        <f>F253+G253</f>
      </c>
    </row>
    <row r="254" spans="1:8" x14ac:dyDescent="0.25">
      <c r="A254" t="s">
        <v>503</v>
      </c>
      <c r="B254" t="s">
        <v>504</v>
      </c>
      <c r="C254" t="s">
        <v>34</v>
      </c>
      <c r="D254" s="1">
        <v>11.06</v>
      </c>
      <c r="E254" s="2">
        <v>4978.6</v>
      </c>
      <c r="F254" s="2">
        <f>D254*E254</f>
      </c>
      <c r="G254" s="2">
        <f>F254*0.16</f>
      </c>
      <c r="H254" s="2">
        <f>F254+G254</f>
      </c>
    </row>
    <row r="255" spans="1:8" x14ac:dyDescent="0.25">
      <c r="A255" t="s">
        <v>505</v>
      </c>
      <c r="B255" t="s">
        <v>506</v>
      </c>
      <c r="C255" t="s">
        <v>15</v>
      </c>
      <c r="D255" s="1">
        <v>166.31</v>
      </c>
      <c r="E255" s="2">
        <v>4151.37</v>
      </c>
      <c r="F255" s="2">
        <f>D255*E255</f>
      </c>
      <c r="G255" s="2">
        <f>F255*0.16</f>
      </c>
      <c r="H255" s="2">
        <f>F255+G255</f>
      </c>
    </row>
    <row r="256" spans="1:8" x14ac:dyDescent="0.25">
      <c r="A256" t="s">
        <v>507</v>
      </c>
      <c r="B256" t="s">
        <v>508</v>
      </c>
      <c r="C256" t="s">
        <v>12</v>
      </c>
      <c r="D256" s="1">
        <v>96.4</v>
      </c>
      <c r="E256" s="2">
        <v>2637.82</v>
      </c>
      <c r="F256" s="2">
        <f>D256*E256</f>
      </c>
      <c r="G256" s="2">
        <f>F256*0.16</f>
      </c>
      <c r="H256" s="2">
        <f>F256+G256</f>
      </c>
    </row>
    <row r="257" spans="1:8" x14ac:dyDescent="0.25">
      <c r="A257" t="s">
        <v>509</v>
      </c>
      <c r="B257" t="s">
        <v>510</v>
      </c>
      <c r="C257" t="s">
        <v>41</v>
      </c>
      <c r="D257" s="1">
        <v>155.61</v>
      </c>
      <c r="E257" s="2">
        <v>3289.48</v>
      </c>
      <c r="F257" s="2">
        <f>D257*E257</f>
      </c>
      <c r="G257" s="2">
        <f>F257*0.16</f>
      </c>
      <c r="H257" s="2">
        <f>F257+G257</f>
      </c>
    </row>
    <row r="258" spans="1:8" x14ac:dyDescent="0.25">
      <c r="A258" t="s">
        <v>511</v>
      </c>
      <c r="B258" t="s">
        <v>512</v>
      </c>
      <c r="C258" t="s">
        <v>34</v>
      </c>
      <c r="D258" s="1">
        <v>439.28</v>
      </c>
      <c r="E258" s="2">
        <v>1999.34</v>
      </c>
      <c r="F258" s="2">
        <f>D258*E258</f>
      </c>
      <c r="G258" s="2">
        <f>F258*0.16</f>
      </c>
      <c r="H258" s="2">
        <f>F258+G258</f>
      </c>
    </row>
    <row r="259" spans="1:8" x14ac:dyDescent="0.25">
      <c r="A259" t="s">
        <v>513</v>
      </c>
      <c r="B259" t="s">
        <v>514</v>
      </c>
      <c r="C259" t="s">
        <v>41</v>
      </c>
      <c r="D259" s="1">
        <v>29.18</v>
      </c>
      <c r="E259" s="2">
        <v>3736.54</v>
      </c>
      <c r="F259" s="2">
        <f>D259*E259</f>
      </c>
      <c r="G259" s="2">
        <f>F259*0.16</f>
      </c>
      <c r="H259" s="2">
        <f>F259+G259</f>
      </c>
    </row>
    <row r="260" spans="1:8" x14ac:dyDescent="0.25">
      <c r="A260" t="s">
        <v>515</v>
      </c>
      <c r="B260" t="s">
        <v>516</v>
      </c>
      <c r="C260" t="s">
        <v>23</v>
      </c>
      <c r="D260" s="1">
        <v>302.03</v>
      </c>
      <c r="E260" s="2">
        <v>1434.15</v>
      </c>
      <c r="F260" s="2">
        <f>D260*E260</f>
      </c>
      <c r="G260" s="2">
        <f>F260*0.16</f>
      </c>
      <c r="H260" s="2">
        <f>F260+G260</f>
      </c>
    </row>
    <row r="261" spans="1:8" x14ac:dyDescent="0.25">
      <c r="A261" t="s">
        <v>517</v>
      </c>
      <c r="B261" t="s">
        <v>518</v>
      </c>
      <c r="C261" t="s">
        <v>18</v>
      </c>
      <c r="D261" s="1">
        <v>412.27</v>
      </c>
      <c r="E261" s="2">
        <v>4121.76</v>
      </c>
      <c r="F261" s="2">
        <f>D261*E261</f>
      </c>
      <c r="G261" s="2">
        <f>F261*0.16</f>
      </c>
      <c r="H261" s="2">
        <f>F261+G261</f>
      </c>
    </row>
    <row r="262" spans="1:8" x14ac:dyDescent="0.25">
      <c r="A262" t="s">
        <v>519</v>
      </c>
      <c r="B262" t="s">
        <v>520</v>
      </c>
      <c r="C262" t="s">
        <v>15</v>
      </c>
      <c r="D262" s="1">
        <v>463.36</v>
      </c>
      <c r="E262" s="2">
        <v>2938.88</v>
      </c>
      <c r="F262" s="2">
        <f>D262*E262</f>
      </c>
      <c r="G262" s="2">
        <f>F262*0.16</f>
      </c>
      <c r="H262" s="2">
        <f>F262+G262</f>
      </c>
    </row>
    <row r="263" spans="1:8" x14ac:dyDescent="0.25">
      <c r="A263" t="s">
        <v>521</v>
      </c>
      <c r="B263" t="s">
        <v>522</v>
      </c>
      <c r="C263" t="s">
        <v>34</v>
      </c>
      <c r="D263" s="1">
        <v>476.83</v>
      </c>
      <c r="E263" s="2">
        <v>3823.87</v>
      </c>
      <c r="F263" s="2">
        <f>D263*E263</f>
      </c>
      <c r="G263" s="2">
        <f>F263*0.16</f>
      </c>
      <c r="H263" s="2">
        <f>F263+G263</f>
      </c>
    </row>
    <row r="264" spans="1:8" x14ac:dyDescent="0.25">
      <c r="A264" t="s">
        <v>523</v>
      </c>
      <c r="B264" t="s">
        <v>524</v>
      </c>
      <c r="C264" t="s">
        <v>34</v>
      </c>
      <c r="D264" s="1">
        <v>117.6</v>
      </c>
      <c r="E264" s="2">
        <v>1704.53</v>
      </c>
      <c r="F264" s="2">
        <f>D264*E264</f>
      </c>
      <c r="G264" s="2">
        <f>F264*0.16</f>
      </c>
      <c r="H264" s="2">
        <f>F264+G264</f>
      </c>
    </row>
    <row r="265" spans="1:8" x14ac:dyDescent="0.25">
      <c r="A265" t="s">
        <v>525</v>
      </c>
      <c r="B265" t="s">
        <v>526</v>
      </c>
      <c r="C265" t="s">
        <v>41</v>
      </c>
      <c r="D265" s="1">
        <v>380.27</v>
      </c>
      <c r="E265" s="2">
        <v>26.42</v>
      </c>
      <c r="F265" s="2">
        <f>D265*E265</f>
      </c>
      <c r="G265" s="2">
        <f>F265*0.16</f>
      </c>
      <c r="H265" s="2">
        <f>F265+G265</f>
      </c>
    </row>
    <row r="266" spans="1:8" x14ac:dyDescent="0.25">
      <c r="A266" t="s">
        <v>527</v>
      </c>
      <c r="B266" t="s">
        <v>528</v>
      </c>
      <c r="C266" t="s">
        <v>34</v>
      </c>
      <c r="D266" s="1">
        <v>459.02</v>
      </c>
      <c r="E266" s="2">
        <v>2202.92</v>
      </c>
      <c r="F266" s="2">
        <f>D266*E266</f>
      </c>
      <c r="G266" s="2">
        <f>F266*0.16</f>
      </c>
      <c r="H266" s="2">
        <f>F266+G266</f>
      </c>
    </row>
    <row r="267" spans="1:8" x14ac:dyDescent="0.25">
      <c r="A267" t="s">
        <v>529</v>
      </c>
      <c r="B267" t="s">
        <v>530</v>
      </c>
      <c r="C267" t="s">
        <v>18</v>
      </c>
      <c r="D267" s="1">
        <v>154.06</v>
      </c>
      <c r="E267" s="2">
        <v>1432.46</v>
      </c>
      <c r="F267" s="2">
        <f>D267*E267</f>
      </c>
      <c r="G267" s="2">
        <f>F267*0.16</f>
      </c>
      <c r="H267" s="2">
        <f>F267+G267</f>
      </c>
    </row>
    <row r="268" spans="1:8" x14ac:dyDescent="0.25">
      <c r="A268" t="s">
        <v>531</v>
      </c>
      <c r="B268" t="s">
        <v>532</v>
      </c>
      <c r="C268" t="s">
        <v>23</v>
      </c>
      <c r="D268" s="1">
        <v>294.35</v>
      </c>
      <c r="E268" s="2">
        <v>3974.39</v>
      </c>
      <c r="F268" s="2">
        <f>D268*E268</f>
      </c>
      <c r="G268" s="2">
        <f>F268*0.16</f>
      </c>
      <c r="H268" s="2">
        <f>F268+G268</f>
      </c>
    </row>
    <row r="269" spans="1:8" x14ac:dyDescent="0.25">
      <c r="A269" t="s">
        <v>533</v>
      </c>
      <c r="B269" t="s">
        <v>534</v>
      </c>
      <c r="C269" t="s">
        <v>12</v>
      </c>
      <c r="D269" s="1">
        <v>125.62</v>
      </c>
      <c r="E269" s="2">
        <v>4421.77</v>
      </c>
      <c r="F269" s="2">
        <f>D269*E269</f>
      </c>
      <c r="G269" s="2">
        <f>F269*0.16</f>
      </c>
      <c r="H269" s="2">
        <f>F269+G269</f>
      </c>
    </row>
    <row r="270" spans="1:8" x14ac:dyDescent="0.25">
      <c r="A270" t="s">
        <v>535</v>
      </c>
      <c r="B270" t="s">
        <v>536</v>
      </c>
      <c r="C270" t="s">
        <v>18</v>
      </c>
      <c r="D270" s="1">
        <v>403.28</v>
      </c>
      <c r="E270" s="2">
        <v>343.12</v>
      </c>
      <c r="F270" s="2">
        <f>D270*E270</f>
      </c>
      <c r="G270" s="2">
        <f>F270*0.16</f>
      </c>
      <c r="H270" s="2">
        <f>F270+G270</f>
      </c>
    </row>
    <row r="271" spans="1:8" x14ac:dyDescent="0.25">
      <c r="A271" t="s">
        <v>537</v>
      </c>
      <c r="B271" t="s">
        <v>538</v>
      </c>
      <c r="C271" t="s">
        <v>23</v>
      </c>
      <c r="D271" s="1">
        <v>249.96</v>
      </c>
      <c r="E271" s="2">
        <v>298.82</v>
      </c>
      <c r="F271" s="2">
        <f>D271*E271</f>
      </c>
      <c r="G271" s="2">
        <f>F271*0.16</f>
      </c>
      <c r="H271" s="2">
        <f>F271+G271</f>
      </c>
    </row>
    <row r="272" spans="1:8" x14ac:dyDescent="0.25">
      <c r="A272" t="s">
        <v>539</v>
      </c>
      <c r="B272" t="s">
        <v>540</v>
      </c>
      <c r="C272" t="s">
        <v>23</v>
      </c>
      <c r="D272" s="1">
        <v>411.61</v>
      </c>
      <c r="E272" s="2">
        <v>3045.47</v>
      </c>
      <c r="F272" s="2">
        <f>D272*E272</f>
      </c>
      <c r="G272" s="2">
        <f>F272*0.16</f>
      </c>
      <c r="H272" s="2">
        <f>F272+G272</f>
      </c>
    </row>
    <row r="273" spans="1:8" x14ac:dyDescent="0.25">
      <c r="A273" t="s">
        <v>541</v>
      </c>
      <c r="B273" t="s">
        <v>542</v>
      </c>
      <c r="C273" t="s">
        <v>34</v>
      </c>
      <c r="D273" s="1">
        <v>398.75</v>
      </c>
      <c r="E273" s="2">
        <v>240.09</v>
      </c>
      <c r="F273" s="2">
        <f>D273*E273</f>
      </c>
      <c r="G273" s="2">
        <f>F273*0.16</f>
      </c>
      <c r="H273" s="2">
        <f>F273+G273</f>
      </c>
    </row>
    <row r="274" spans="1:8" x14ac:dyDescent="0.25">
      <c r="A274" t="s">
        <v>543</v>
      </c>
      <c r="B274" t="s">
        <v>544</v>
      </c>
      <c r="C274" t="s">
        <v>34</v>
      </c>
      <c r="D274" s="1">
        <v>416.27</v>
      </c>
      <c r="E274" s="2">
        <v>3248.59</v>
      </c>
      <c r="F274" s="2">
        <f>D274*E274</f>
      </c>
      <c r="G274" s="2">
        <f>F274*0.16</f>
      </c>
      <c r="H274" s="2">
        <f>F274+G274</f>
      </c>
    </row>
    <row r="275" spans="1:8" x14ac:dyDescent="0.25">
      <c r="A275" t="s">
        <v>545</v>
      </c>
      <c r="B275" t="s">
        <v>546</v>
      </c>
      <c r="C275" t="s">
        <v>12</v>
      </c>
      <c r="D275" s="1">
        <v>35.16</v>
      </c>
      <c r="E275" s="2">
        <v>4332.57</v>
      </c>
      <c r="F275" s="2">
        <f>D275*E275</f>
      </c>
      <c r="G275" s="2">
        <f>F275*0.16</f>
      </c>
      <c r="H275" s="2">
        <f>F275+G275</f>
      </c>
    </row>
    <row r="276" spans="1:8" x14ac:dyDescent="0.25">
      <c r="A276" t="s">
        <v>547</v>
      </c>
      <c r="B276" t="s">
        <v>548</v>
      </c>
      <c r="C276" t="s">
        <v>12</v>
      </c>
      <c r="D276" s="1">
        <v>462.52</v>
      </c>
      <c r="E276" s="2">
        <v>1912.69</v>
      </c>
      <c r="F276" s="2">
        <f>D276*E276</f>
      </c>
      <c r="G276" s="2">
        <f>F276*0.16</f>
      </c>
      <c r="H276" s="2">
        <f>F276+G276</f>
      </c>
    </row>
    <row r="277" spans="1:8" x14ac:dyDescent="0.25">
      <c r="A277" t="s">
        <v>549</v>
      </c>
      <c r="B277" t="s">
        <v>550</v>
      </c>
      <c r="C277" t="s">
        <v>34</v>
      </c>
      <c r="D277" s="1">
        <v>433.58</v>
      </c>
      <c r="E277" s="2">
        <v>696.05</v>
      </c>
      <c r="F277" s="2">
        <f>D277*E277</f>
      </c>
      <c r="G277" s="2">
        <f>F277*0.16</f>
      </c>
      <c r="H277" s="2">
        <f>F277+G277</f>
      </c>
    </row>
    <row r="278" spans="1:8" x14ac:dyDescent="0.25">
      <c r="A278" t="s">
        <v>551</v>
      </c>
      <c r="B278" t="s">
        <v>552</v>
      </c>
      <c r="C278" t="s">
        <v>34</v>
      </c>
      <c r="D278" s="1">
        <v>471.45</v>
      </c>
      <c r="E278" s="2">
        <v>2204.04</v>
      </c>
      <c r="F278" s="2">
        <f>D278*E278</f>
      </c>
      <c r="G278" s="2">
        <f>F278*0.16</f>
      </c>
      <c r="H278" s="2">
        <f>F278+G278</f>
      </c>
    </row>
    <row r="279" spans="1:8" x14ac:dyDescent="0.25">
      <c r="A279" t="s">
        <v>553</v>
      </c>
      <c r="B279" t="s">
        <v>554</v>
      </c>
      <c r="C279" t="s">
        <v>23</v>
      </c>
      <c r="D279" s="1">
        <v>71.05</v>
      </c>
      <c r="E279" s="2">
        <v>1689.38</v>
      </c>
      <c r="F279" s="2">
        <f>D279*E279</f>
      </c>
      <c r="G279" s="2">
        <f>F279*0.16</f>
      </c>
      <c r="H279" s="2">
        <f>F279+G279</f>
      </c>
    </row>
    <row r="280" spans="1:8" x14ac:dyDescent="0.25">
      <c r="A280" t="s">
        <v>555</v>
      </c>
      <c r="B280" t="s">
        <v>556</v>
      </c>
      <c r="C280" t="s">
        <v>15</v>
      </c>
      <c r="D280" s="1">
        <v>464.78</v>
      </c>
      <c r="E280" s="2">
        <v>4073.72</v>
      </c>
      <c r="F280" s="2">
        <f>D280*E280</f>
      </c>
      <c r="G280" s="2">
        <f>F280*0.16</f>
      </c>
      <c r="H280" s="2">
        <f>F280+G280</f>
      </c>
    </row>
    <row r="281" spans="1:8" x14ac:dyDescent="0.25">
      <c r="A281" t="s">
        <v>557</v>
      </c>
      <c r="B281" t="s">
        <v>558</v>
      </c>
      <c r="C281" t="s">
        <v>23</v>
      </c>
      <c r="D281" s="1">
        <v>319.88</v>
      </c>
      <c r="E281" s="2">
        <v>4069.37</v>
      </c>
      <c r="F281" s="2">
        <f>D281*E281</f>
      </c>
      <c r="G281" s="2">
        <f>F281*0.16</f>
      </c>
      <c r="H281" s="2">
        <f>F281+G281</f>
      </c>
    </row>
    <row r="282" spans="1:8" x14ac:dyDescent="0.25">
      <c r="A282" t="s">
        <v>559</v>
      </c>
      <c r="B282" t="s">
        <v>560</v>
      </c>
      <c r="C282" t="s">
        <v>12</v>
      </c>
      <c r="D282" s="1">
        <v>219.17</v>
      </c>
      <c r="E282" s="2">
        <v>1191.42</v>
      </c>
      <c r="F282" s="2">
        <f>D282*E282</f>
      </c>
      <c r="G282" s="2">
        <f>F282*0.16</f>
      </c>
      <c r="H282" s="2">
        <f>F282+G282</f>
      </c>
    </row>
    <row r="283" spans="1:8" x14ac:dyDescent="0.25">
      <c r="A283" t="s">
        <v>561</v>
      </c>
      <c r="B283" t="s">
        <v>562</v>
      </c>
      <c r="C283" t="s">
        <v>12</v>
      </c>
      <c r="D283" s="1">
        <v>378.45</v>
      </c>
      <c r="E283" s="2">
        <v>4846.8</v>
      </c>
      <c r="F283" s="2">
        <f>D283*E283</f>
      </c>
      <c r="G283" s="2">
        <f>F283*0.16</f>
      </c>
      <c r="H283" s="2">
        <f>F283+G283</f>
      </c>
    </row>
    <row r="284" spans="1:8" x14ac:dyDescent="0.25">
      <c r="A284" t="s">
        <v>563</v>
      </c>
      <c r="B284" t="s">
        <v>564</v>
      </c>
      <c r="C284" t="s">
        <v>34</v>
      </c>
      <c r="D284" s="1">
        <v>64.33</v>
      </c>
      <c r="E284" s="2">
        <v>452.76</v>
      </c>
      <c r="F284" s="2">
        <f>D284*E284</f>
      </c>
      <c r="G284" s="2">
        <f>F284*0.16</f>
      </c>
      <c r="H284" s="2">
        <f>F284+G284</f>
      </c>
    </row>
    <row r="285" spans="1:8" x14ac:dyDescent="0.25">
      <c r="A285" t="s">
        <v>565</v>
      </c>
      <c r="B285" t="s">
        <v>566</v>
      </c>
      <c r="C285" t="s">
        <v>15</v>
      </c>
      <c r="D285" s="1">
        <v>170.13</v>
      </c>
      <c r="E285" s="2">
        <v>4033.09</v>
      </c>
      <c r="F285" s="2">
        <f>D285*E285</f>
      </c>
      <c r="G285" s="2">
        <f>F285*0.16</f>
      </c>
      <c r="H285" s="2">
        <f>F285+G285</f>
      </c>
    </row>
    <row r="286" spans="1:8" x14ac:dyDescent="0.25">
      <c r="A286" t="s">
        <v>567</v>
      </c>
      <c r="B286" t="s">
        <v>568</v>
      </c>
      <c r="C286" t="s">
        <v>34</v>
      </c>
      <c r="D286" s="1">
        <v>4.01</v>
      </c>
      <c r="E286" s="2">
        <v>2731.82</v>
      </c>
      <c r="F286" s="2">
        <f>D286*E286</f>
      </c>
      <c r="G286" s="2">
        <f>F286*0.16</f>
      </c>
      <c r="H286" s="2">
        <f>F286+G286</f>
      </c>
    </row>
    <row r="287" spans="1:8" x14ac:dyDescent="0.25">
      <c r="A287" t="s">
        <v>569</v>
      </c>
      <c r="B287" t="s">
        <v>570</v>
      </c>
      <c r="C287" t="s">
        <v>15</v>
      </c>
      <c r="D287" s="1">
        <v>434.64</v>
      </c>
      <c r="E287" s="2">
        <v>1220.87</v>
      </c>
      <c r="F287" s="2">
        <f>D287*E287</f>
      </c>
      <c r="G287" s="2">
        <f>F287*0.16</f>
      </c>
      <c r="H287" s="2">
        <f>F287+G287</f>
      </c>
    </row>
    <row r="288" spans="1:8" x14ac:dyDescent="0.25">
      <c r="A288" t="s">
        <v>571</v>
      </c>
      <c r="B288" t="s">
        <v>572</v>
      </c>
      <c r="C288" t="s">
        <v>18</v>
      </c>
      <c r="D288" s="1">
        <v>481.83</v>
      </c>
      <c r="E288" s="2">
        <v>2076</v>
      </c>
      <c r="F288" s="2">
        <f>D288*E288</f>
      </c>
      <c r="G288" s="2">
        <f>F288*0.16</f>
      </c>
      <c r="H288" s="2">
        <f>F288+G288</f>
      </c>
    </row>
    <row r="289" spans="1:8" x14ac:dyDescent="0.25">
      <c r="A289" t="s">
        <v>573</v>
      </c>
      <c r="B289" t="s">
        <v>574</v>
      </c>
      <c r="C289" t="s">
        <v>18</v>
      </c>
      <c r="D289" s="1">
        <v>457.06</v>
      </c>
      <c r="E289" s="2">
        <v>868.59</v>
      </c>
      <c r="F289" s="2">
        <f>D289*E289</f>
      </c>
      <c r="G289" s="2">
        <f>F289*0.16</f>
      </c>
      <c r="H289" s="2">
        <f>F289+G289</f>
      </c>
    </row>
    <row r="290" spans="1:8" x14ac:dyDescent="0.25">
      <c r="A290" t="s">
        <v>575</v>
      </c>
      <c r="B290" t="s">
        <v>576</v>
      </c>
      <c r="C290" t="s">
        <v>41</v>
      </c>
      <c r="D290" s="1">
        <v>364.65</v>
      </c>
      <c r="E290" s="2">
        <v>3047.03</v>
      </c>
      <c r="F290" s="2">
        <f>D290*E290</f>
      </c>
      <c r="G290" s="2">
        <f>F290*0.16</f>
      </c>
      <c r="H290" s="2">
        <f>F290+G290</f>
      </c>
    </row>
    <row r="291" spans="1:8" x14ac:dyDescent="0.25">
      <c r="A291" t="s">
        <v>577</v>
      </c>
      <c r="B291" t="s">
        <v>578</v>
      </c>
      <c r="C291" t="s">
        <v>23</v>
      </c>
      <c r="D291" s="1">
        <v>454.66</v>
      </c>
      <c r="E291" s="2">
        <v>295.55</v>
      </c>
      <c r="F291" s="2">
        <f>D291*E291</f>
      </c>
      <c r="G291" s="2">
        <f>F291*0.16</f>
      </c>
      <c r="H291" s="2">
        <f>F291+G291</f>
      </c>
    </row>
    <row r="292" spans="1:8" x14ac:dyDescent="0.25">
      <c r="A292" t="s">
        <v>579</v>
      </c>
      <c r="B292" t="s">
        <v>580</v>
      </c>
      <c r="C292" t="s">
        <v>18</v>
      </c>
      <c r="D292" s="1">
        <v>475.83</v>
      </c>
      <c r="E292" s="2">
        <v>4515.37</v>
      </c>
      <c r="F292" s="2">
        <f>D292*E292</f>
      </c>
      <c r="G292" s="2">
        <f>F292*0.16</f>
      </c>
      <c r="H292" s="2">
        <f>F292+G292</f>
      </c>
    </row>
    <row r="293" spans="1:8" s="8" customFormat="1" x14ac:dyDescent="0.25">
      <c r="A293" s="8" t="s">
        <v>46</v>
      </c>
      <c r="B293" s="8" t="s">
        <v>581</v>
      </c>
      <c r="C293" s="8" t="s">
        <v>46</v>
      </c>
      <c r="D293" s="9" t="s">
        <v>46</v>
      </c>
      <c r="E293" s="10" t="s">
        <v>46</v>
      </c>
      <c r="F293" s="10">
        <f>SUM(F233:F292)</f>
      </c>
      <c r="G293" s="10">
        <f>SUM(G233:G292)</f>
      </c>
      <c r="H293" s="10">
        <f>SUM(H233:H292)</f>
      </c>
    </row>
    <row r="294" spans="1:8" x14ac:dyDescent="0.25">
      <c r="A294" s="7" t="s">
        <v>582</v>
      </c>
      <c r="B294" s="7"/>
      <c r="C294" s="7"/>
      <c r="D294" s="7"/>
      <c r="E294" s="7"/>
      <c r="F294" s="7"/>
      <c r="G294" s="7"/>
      <c r="H294" s="7"/>
    </row>
    <row r="295" spans="1:8" x14ac:dyDescent="0.25">
      <c r="A295" t="s">
        <v>583</v>
      </c>
      <c r="B295" t="s">
        <v>584</v>
      </c>
      <c r="C295" t="s">
        <v>34</v>
      </c>
      <c r="D295" s="1">
        <v>60.38</v>
      </c>
      <c r="E295" s="2">
        <v>4066.1</v>
      </c>
      <c r="F295" s="2">
        <f>D295*E295</f>
      </c>
      <c r="G295" s="2">
        <f>F295*0.16</f>
      </c>
      <c r="H295" s="2">
        <f>F295+G295</f>
      </c>
    </row>
    <row r="296" spans="1:8" x14ac:dyDescent="0.25">
      <c r="A296" t="s">
        <v>585</v>
      </c>
      <c r="B296" t="s">
        <v>586</v>
      </c>
      <c r="C296" t="s">
        <v>34</v>
      </c>
      <c r="D296" s="1">
        <v>46.37</v>
      </c>
      <c r="E296" s="2">
        <v>392.25</v>
      </c>
      <c r="F296" s="2">
        <f>D296*E296</f>
      </c>
      <c r="G296" s="2">
        <f>F296*0.16</f>
      </c>
      <c r="H296" s="2">
        <f>F296+G296</f>
      </c>
    </row>
    <row r="297" spans="1:8" x14ac:dyDescent="0.25">
      <c r="A297" t="s">
        <v>587</v>
      </c>
      <c r="B297" t="s">
        <v>588</v>
      </c>
      <c r="C297" t="s">
        <v>15</v>
      </c>
      <c r="D297" s="1">
        <v>385.58</v>
      </c>
      <c r="E297" s="2">
        <v>3515.2</v>
      </c>
      <c r="F297" s="2">
        <f>D297*E297</f>
      </c>
      <c r="G297" s="2">
        <f>F297*0.16</f>
      </c>
      <c r="H297" s="2">
        <f>F297+G297</f>
      </c>
    </row>
    <row r="298" spans="1:8" x14ac:dyDescent="0.25">
      <c r="A298" t="s">
        <v>589</v>
      </c>
      <c r="B298" t="s">
        <v>590</v>
      </c>
      <c r="C298" t="s">
        <v>34</v>
      </c>
      <c r="D298" s="1">
        <v>93.88</v>
      </c>
      <c r="E298" s="2">
        <v>4308.05</v>
      </c>
      <c r="F298" s="2">
        <f>D298*E298</f>
      </c>
      <c r="G298" s="2">
        <f>F298*0.16</f>
      </c>
      <c r="H298" s="2">
        <f>F298+G298</f>
      </c>
    </row>
    <row r="299" spans="1:8" x14ac:dyDescent="0.25">
      <c r="A299" t="s">
        <v>591</v>
      </c>
      <c r="B299" t="s">
        <v>592</v>
      </c>
      <c r="C299" t="s">
        <v>34</v>
      </c>
      <c r="D299" s="1">
        <v>190.44</v>
      </c>
      <c r="E299" s="2">
        <v>4984.56</v>
      </c>
      <c r="F299" s="2">
        <f>D299*E299</f>
      </c>
      <c r="G299" s="2">
        <f>F299*0.16</f>
      </c>
      <c r="H299" s="2">
        <f>F299+G299</f>
      </c>
    </row>
    <row r="300" spans="1:8" x14ac:dyDescent="0.25">
      <c r="A300" t="s">
        <v>593</v>
      </c>
      <c r="B300" t="s">
        <v>594</v>
      </c>
      <c r="C300" t="s">
        <v>15</v>
      </c>
      <c r="D300" s="1">
        <v>310.78</v>
      </c>
      <c r="E300" s="2">
        <v>273.28</v>
      </c>
      <c r="F300" s="2">
        <f>D300*E300</f>
      </c>
      <c r="G300" s="2">
        <f>F300*0.16</f>
      </c>
      <c r="H300" s="2">
        <f>F300+G300</f>
      </c>
    </row>
    <row r="301" spans="1:8" x14ac:dyDescent="0.25">
      <c r="A301" t="s">
        <v>595</v>
      </c>
      <c r="B301" t="s">
        <v>596</v>
      </c>
      <c r="C301" t="s">
        <v>18</v>
      </c>
      <c r="D301" s="1">
        <v>289.77</v>
      </c>
      <c r="E301" s="2">
        <v>2073.54</v>
      </c>
      <c r="F301" s="2">
        <f>D301*E301</f>
      </c>
      <c r="G301" s="2">
        <f>F301*0.16</f>
      </c>
      <c r="H301" s="2">
        <f>F301+G301</f>
      </c>
    </row>
    <row r="302" spans="1:8" x14ac:dyDescent="0.25">
      <c r="A302" t="s">
        <v>597</v>
      </c>
      <c r="B302" t="s">
        <v>598</v>
      </c>
      <c r="C302" t="s">
        <v>15</v>
      </c>
      <c r="D302" s="1">
        <v>193.99</v>
      </c>
      <c r="E302" s="2">
        <v>2525</v>
      </c>
      <c r="F302" s="2">
        <f>D302*E302</f>
      </c>
      <c r="G302" s="2">
        <f>F302*0.16</f>
      </c>
      <c r="H302" s="2">
        <f>F302+G302</f>
      </c>
    </row>
    <row r="303" spans="1:8" x14ac:dyDescent="0.25">
      <c r="A303" t="s">
        <v>599</v>
      </c>
      <c r="B303" t="s">
        <v>600</v>
      </c>
      <c r="C303" t="s">
        <v>12</v>
      </c>
      <c r="D303" s="1">
        <v>122.15</v>
      </c>
      <c r="E303" s="2">
        <v>880.47</v>
      </c>
      <c r="F303" s="2">
        <f>D303*E303</f>
      </c>
      <c r="G303" s="2">
        <f>F303*0.16</f>
      </c>
      <c r="H303" s="2">
        <f>F303+G303</f>
      </c>
    </row>
    <row r="304" spans="1:8" x14ac:dyDescent="0.25">
      <c r="A304" t="s">
        <v>601</v>
      </c>
      <c r="B304" t="s">
        <v>602</v>
      </c>
      <c r="C304" t="s">
        <v>23</v>
      </c>
      <c r="D304" s="1">
        <v>225.77</v>
      </c>
      <c r="E304" s="2">
        <v>833.85</v>
      </c>
      <c r="F304" s="2">
        <f>D304*E304</f>
      </c>
      <c r="G304" s="2">
        <f>F304*0.16</f>
      </c>
      <c r="H304" s="2">
        <f>F304+G304</f>
      </c>
    </row>
    <row r="305" spans="1:8" x14ac:dyDescent="0.25">
      <c r="A305" t="s">
        <v>603</v>
      </c>
      <c r="B305" t="s">
        <v>604</v>
      </c>
      <c r="C305" t="s">
        <v>41</v>
      </c>
      <c r="D305" s="1">
        <v>318.33</v>
      </c>
      <c r="E305" s="2">
        <v>3252.8</v>
      </c>
      <c r="F305" s="2">
        <f>D305*E305</f>
      </c>
      <c r="G305" s="2">
        <f>F305*0.16</f>
      </c>
      <c r="H305" s="2">
        <f>F305+G305</f>
      </c>
    </row>
    <row r="306" spans="1:8" x14ac:dyDescent="0.25">
      <c r="A306" t="s">
        <v>605</v>
      </c>
      <c r="B306" t="s">
        <v>606</v>
      </c>
      <c r="C306" t="s">
        <v>41</v>
      </c>
      <c r="D306" s="1">
        <v>456.73</v>
      </c>
      <c r="E306" s="2">
        <v>3028.9</v>
      </c>
      <c r="F306" s="2">
        <f>D306*E306</f>
      </c>
      <c r="G306" s="2">
        <f>F306*0.16</f>
      </c>
      <c r="H306" s="2">
        <f>F306+G306</f>
      </c>
    </row>
    <row r="307" spans="1:8" x14ac:dyDescent="0.25">
      <c r="A307" t="s">
        <v>607</v>
      </c>
      <c r="B307" t="s">
        <v>608</v>
      </c>
      <c r="C307" t="s">
        <v>15</v>
      </c>
      <c r="D307" s="1">
        <v>479.52</v>
      </c>
      <c r="E307" s="2">
        <v>2091.18</v>
      </c>
      <c r="F307" s="2">
        <f>D307*E307</f>
      </c>
      <c r="G307" s="2">
        <f>F307*0.16</f>
      </c>
      <c r="H307" s="2">
        <f>F307+G307</f>
      </c>
    </row>
    <row r="308" spans="1:8" x14ac:dyDescent="0.25">
      <c r="A308" t="s">
        <v>609</v>
      </c>
      <c r="B308" t="s">
        <v>610</v>
      </c>
      <c r="C308" t="s">
        <v>15</v>
      </c>
      <c r="D308" s="1">
        <v>207</v>
      </c>
      <c r="E308" s="2">
        <v>1979.92</v>
      </c>
      <c r="F308" s="2">
        <f>D308*E308</f>
      </c>
      <c r="G308" s="2">
        <f>F308*0.16</f>
      </c>
      <c r="H308" s="2">
        <f>F308+G308</f>
      </c>
    </row>
    <row r="309" spans="1:8" x14ac:dyDescent="0.25">
      <c r="A309" t="s">
        <v>611</v>
      </c>
      <c r="B309" t="s">
        <v>612</v>
      </c>
      <c r="C309" t="s">
        <v>23</v>
      </c>
      <c r="D309" s="1">
        <v>490.83</v>
      </c>
      <c r="E309" s="2">
        <v>3027.79</v>
      </c>
      <c r="F309" s="2">
        <f>D309*E309</f>
      </c>
      <c r="G309" s="2">
        <f>F309*0.16</f>
      </c>
      <c r="H309" s="2">
        <f>F309+G309</f>
      </c>
    </row>
    <row r="310" spans="1:8" x14ac:dyDescent="0.25">
      <c r="A310" t="s">
        <v>613</v>
      </c>
      <c r="B310" t="s">
        <v>614</v>
      </c>
      <c r="C310" t="s">
        <v>23</v>
      </c>
      <c r="D310" s="1">
        <v>327.11</v>
      </c>
      <c r="E310" s="2">
        <v>3237.27</v>
      </c>
      <c r="F310" s="2">
        <f>D310*E310</f>
      </c>
      <c r="G310" s="2">
        <f>F310*0.16</f>
      </c>
      <c r="H310" s="2">
        <f>F310+G310</f>
      </c>
    </row>
    <row r="311" spans="1:8" x14ac:dyDescent="0.25">
      <c r="A311" t="s">
        <v>615</v>
      </c>
      <c r="B311" t="s">
        <v>616</v>
      </c>
      <c r="C311" t="s">
        <v>18</v>
      </c>
      <c r="D311" s="1">
        <v>496.18</v>
      </c>
      <c r="E311" s="2">
        <v>898.66</v>
      </c>
      <c r="F311" s="2">
        <f>D311*E311</f>
      </c>
      <c r="G311" s="2">
        <f>F311*0.16</f>
      </c>
      <c r="H311" s="2">
        <f>F311+G311</f>
      </c>
    </row>
    <row r="312" spans="1:8" x14ac:dyDescent="0.25">
      <c r="A312" t="s">
        <v>617</v>
      </c>
      <c r="B312" t="s">
        <v>618</v>
      </c>
      <c r="C312" t="s">
        <v>12</v>
      </c>
      <c r="D312" s="1">
        <v>455.03</v>
      </c>
      <c r="E312" s="2">
        <v>322.67</v>
      </c>
      <c r="F312" s="2">
        <f>D312*E312</f>
      </c>
      <c r="G312" s="2">
        <f>F312*0.16</f>
      </c>
      <c r="H312" s="2">
        <f>F312+G312</f>
      </c>
    </row>
    <row r="313" spans="1:8" x14ac:dyDescent="0.25">
      <c r="A313" t="s">
        <v>619</v>
      </c>
      <c r="B313" t="s">
        <v>620</v>
      </c>
      <c r="C313" t="s">
        <v>15</v>
      </c>
      <c r="D313" s="1">
        <v>55.73</v>
      </c>
      <c r="E313" s="2">
        <v>725.92</v>
      </c>
      <c r="F313" s="2">
        <f>D313*E313</f>
      </c>
      <c r="G313" s="2">
        <f>F313*0.16</f>
      </c>
      <c r="H313" s="2">
        <f>F313+G313</f>
      </c>
    </row>
    <row r="314" spans="1:8" x14ac:dyDescent="0.25">
      <c r="A314" t="s">
        <v>621</v>
      </c>
      <c r="B314" t="s">
        <v>622</v>
      </c>
      <c r="C314" t="s">
        <v>34</v>
      </c>
      <c r="D314" s="1">
        <v>195.69</v>
      </c>
      <c r="E314" s="2">
        <v>1142.99</v>
      </c>
      <c r="F314" s="2">
        <f>D314*E314</f>
      </c>
      <c r="G314" s="2">
        <f>F314*0.16</f>
      </c>
      <c r="H314" s="2">
        <f>F314+G314</f>
      </c>
    </row>
    <row r="315" spans="1:8" s="8" customFormat="1" x14ac:dyDescent="0.25">
      <c r="A315" s="8" t="s">
        <v>46</v>
      </c>
      <c r="B315" s="8" t="s">
        <v>623</v>
      </c>
      <c r="C315" s="8" t="s">
        <v>46</v>
      </c>
      <c r="D315" s="9" t="s">
        <v>46</v>
      </c>
      <c r="E315" s="10" t="s">
        <v>46</v>
      </c>
      <c r="F315" s="10">
        <f>SUM(F295:F314)</f>
      </c>
      <c r="G315" s="10">
        <f>SUM(G295:G314)</f>
      </c>
      <c r="H315" s="10">
        <f>SUM(H295:H314)</f>
      </c>
    </row>
    <row r="316" spans="1:8" x14ac:dyDescent="0.25">
      <c r="A316" s="7" t="s">
        <v>624</v>
      </c>
      <c r="B316" s="7"/>
      <c r="C316" s="7"/>
      <c r="D316" s="7"/>
      <c r="E316" s="7"/>
      <c r="F316" s="7"/>
      <c r="G316" s="7"/>
      <c r="H316" s="7"/>
    </row>
    <row r="317" spans="1:8" x14ac:dyDescent="0.25">
      <c r="A317" t="s">
        <v>625</v>
      </c>
      <c r="B317" t="s">
        <v>626</v>
      </c>
      <c r="C317" t="s">
        <v>41</v>
      </c>
      <c r="D317" s="1">
        <v>111.25</v>
      </c>
      <c r="E317" s="2">
        <v>36.94</v>
      </c>
      <c r="F317" s="2">
        <f>D317*E317</f>
      </c>
      <c r="G317" s="2">
        <f>F317*0.16</f>
      </c>
      <c r="H317" s="2">
        <f>F317+G317</f>
      </c>
    </row>
    <row r="318" spans="1:8" x14ac:dyDescent="0.25">
      <c r="A318" t="s">
        <v>627</v>
      </c>
      <c r="B318" t="s">
        <v>628</v>
      </c>
      <c r="C318" t="s">
        <v>12</v>
      </c>
      <c r="D318" s="1">
        <v>228.26</v>
      </c>
      <c r="E318" s="2">
        <v>4274.5</v>
      </c>
      <c r="F318" s="2">
        <f>D318*E318</f>
      </c>
      <c r="G318" s="2">
        <f>F318*0.16</f>
      </c>
      <c r="H318" s="2">
        <f>F318+G318</f>
      </c>
    </row>
    <row r="319" spans="1:8" x14ac:dyDescent="0.25">
      <c r="A319" t="s">
        <v>629</v>
      </c>
      <c r="B319" t="s">
        <v>630</v>
      </c>
      <c r="C319" t="s">
        <v>15</v>
      </c>
      <c r="D319" s="1">
        <v>345.88</v>
      </c>
      <c r="E319" s="2">
        <v>2522.04</v>
      </c>
      <c r="F319" s="2">
        <f>D319*E319</f>
      </c>
      <c r="G319" s="2">
        <f>F319*0.16</f>
      </c>
      <c r="H319" s="2">
        <f>F319+G319</f>
      </c>
    </row>
    <row r="320" spans="1:8" x14ac:dyDescent="0.25">
      <c r="A320" t="s">
        <v>631</v>
      </c>
      <c r="B320" t="s">
        <v>632</v>
      </c>
      <c r="C320" t="s">
        <v>12</v>
      </c>
      <c r="D320" s="1">
        <v>89.84</v>
      </c>
      <c r="E320" s="2">
        <v>3021.46</v>
      </c>
      <c r="F320" s="2">
        <f>D320*E320</f>
      </c>
      <c r="G320" s="2">
        <f>F320*0.16</f>
      </c>
      <c r="H320" s="2">
        <f>F320+G320</f>
      </c>
    </row>
    <row r="321" spans="1:8" x14ac:dyDescent="0.25">
      <c r="A321" t="s">
        <v>633</v>
      </c>
      <c r="B321" t="s">
        <v>634</v>
      </c>
      <c r="C321" t="s">
        <v>23</v>
      </c>
      <c r="D321" s="1">
        <v>496.12</v>
      </c>
      <c r="E321" s="2">
        <v>1542.29</v>
      </c>
      <c r="F321" s="2">
        <f>D321*E321</f>
      </c>
      <c r="G321" s="2">
        <f>F321*0.16</f>
      </c>
      <c r="H321" s="2">
        <f>F321+G321</f>
      </c>
    </row>
    <row r="322" spans="1:8" x14ac:dyDescent="0.25">
      <c r="A322" t="s">
        <v>635</v>
      </c>
      <c r="B322" t="s">
        <v>636</v>
      </c>
      <c r="C322" t="s">
        <v>12</v>
      </c>
      <c r="D322" s="1">
        <v>250.79</v>
      </c>
      <c r="E322" s="2">
        <v>1408</v>
      </c>
      <c r="F322" s="2">
        <f>D322*E322</f>
      </c>
      <c r="G322" s="2">
        <f>F322*0.16</f>
      </c>
      <c r="H322" s="2">
        <f>F322+G322</f>
      </c>
    </row>
    <row r="323" spans="1:8" x14ac:dyDescent="0.25">
      <c r="A323" t="s">
        <v>637</v>
      </c>
      <c r="B323" t="s">
        <v>638</v>
      </c>
      <c r="C323" t="s">
        <v>34</v>
      </c>
      <c r="D323" s="1">
        <v>12.22</v>
      </c>
      <c r="E323" s="2">
        <v>1046.19</v>
      </c>
      <c r="F323" s="2">
        <f>D323*E323</f>
      </c>
      <c r="G323" s="2">
        <f>F323*0.16</f>
      </c>
      <c r="H323" s="2">
        <f>F323+G323</f>
      </c>
    </row>
    <row r="324" spans="1:8" x14ac:dyDescent="0.25">
      <c r="A324" t="s">
        <v>639</v>
      </c>
      <c r="B324" t="s">
        <v>640</v>
      </c>
      <c r="C324" t="s">
        <v>18</v>
      </c>
      <c r="D324" s="1">
        <v>50.66</v>
      </c>
      <c r="E324" s="2">
        <v>1863.97</v>
      </c>
      <c r="F324" s="2">
        <f>D324*E324</f>
      </c>
      <c r="G324" s="2">
        <f>F324*0.16</f>
      </c>
      <c r="H324" s="2">
        <f>F324+G324</f>
      </c>
    </row>
    <row r="325" spans="1:8" x14ac:dyDescent="0.25">
      <c r="A325" t="s">
        <v>641</v>
      </c>
      <c r="B325" t="s">
        <v>642</v>
      </c>
      <c r="C325" t="s">
        <v>23</v>
      </c>
      <c r="D325" s="1">
        <v>27.56</v>
      </c>
      <c r="E325" s="2">
        <v>907.56</v>
      </c>
      <c r="F325" s="2">
        <f>D325*E325</f>
      </c>
      <c r="G325" s="2">
        <f>F325*0.16</f>
      </c>
      <c r="H325" s="2">
        <f>F325+G325</f>
      </c>
    </row>
    <row r="326" spans="1:8" x14ac:dyDescent="0.25">
      <c r="A326" t="s">
        <v>643</v>
      </c>
      <c r="B326" t="s">
        <v>644</v>
      </c>
      <c r="C326" t="s">
        <v>12</v>
      </c>
      <c r="D326" s="1">
        <v>0.62</v>
      </c>
      <c r="E326" s="2">
        <v>4162.37</v>
      </c>
      <c r="F326" s="2">
        <f>D326*E326</f>
      </c>
      <c r="G326" s="2">
        <f>F326*0.16</f>
      </c>
      <c r="H326" s="2">
        <f>F326+G326</f>
      </c>
    </row>
    <row r="327" spans="1:8" x14ac:dyDescent="0.25">
      <c r="A327" t="s">
        <v>645</v>
      </c>
      <c r="B327" t="s">
        <v>646</v>
      </c>
      <c r="C327" t="s">
        <v>18</v>
      </c>
      <c r="D327" s="1">
        <v>477.67</v>
      </c>
      <c r="E327" s="2">
        <v>1484.95</v>
      </c>
      <c r="F327" s="2">
        <f>D327*E327</f>
      </c>
      <c r="G327" s="2">
        <f>F327*0.16</f>
      </c>
      <c r="H327" s="2">
        <f>F327+G327</f>
      </c>
    </row>
    <row r="328" spans="1:8" x14ac:dyDescent="0.25">
      <c r="A328" t="s">
        <v>647</v>
      </c>
      <c r="B328" t="s">
        <v>648</v>
      </c>
      <c r="C328" t="s">
        <v>41</v>
      </c>
      <c r="D328" s="1">
        <v>481.11</v>
      </c>
      <c r="E328" s="2">
        <v>4195.17</v>
      </c>
      <c r="F328" s="2">
        <f>D328*E328</f>
      </c>
      <c r="G328" s="2">
        <f>F328*0.16</f>
      </c>
      <c r="H328" s="2">
        <f>F328+G328</f>
      </c>
    </row>
    <row r="329" spans="1:8" x14ac:dyDescent="0.25">
      <c r="A329" t="s">
        <v>649</v>
      </c>
      <c r="B329" t="s">
        <v>650</v>
      </c>
      <c r="C329" t="s">
        <v>15</v>
      </c>
      <c r="D329" s="1">
        <v>457.61</v>
      </c>
      <c r="E329" s="2">
        <v>318.19</v>
      </c>
      <c r="F329" s="2">
        <f>D329*E329</f>
      </c>
      <c r="G329" s="2">
        <f>F329*0.16</f>
      </c>
      <c r="H329" s="2">
        <f>F329+G329</f>
      </c>
    </row>
    <row r="330" spans="1:8" x14ac:dyDescent="0.25">
      <c r="A330" t="s">
        <v>651</v>
      </c>
      <c r="B330" t="s">
        <v>652</v>
      </c>
      <c r="C330" t="s">
        <v>34</v>
      </c>
      <c r="D330" s="1">
        <v>280.43</v>
      </c>
      <c r="E330" s="2">
        <v>172</v>
      </c>
      <c r="F330" s="2">
        <f>D330*E330</f>
      </c>
      <c r="G330" s="2">
        <f>F330*0.16</f>
      </c>
      <c r="H330" s="2">
        <f>F330+G330</f>
      </c>
    </row>
    <row r="331" spans="1:8" x14ac:dyDescent="0.25">
      <c r="A331" t="s">
        <v>653</v>
      </c>
      <c r="B331" t="s">
        <v>654</v>
      </c>
      <c r="C331" t="s">
        <v>34</v>
      </c>
      <c r="D331" s="1">
        <v>75.12</v>
      </c>
      <c r="E331" s="2">
        <v>329.95</v>
      </c>
      <c r="F331" s="2">
        <f>D331*E331</f>
      </c>
      <c r="G331" s="2">
        <f>F331*0.16</f>
      </c>
      <c r="H331" s="2">
        <f>F331+G331</f>
      </c>
    </row>
    <row r="332" spans="1:8" s="8" customFormat="1" x14ac:dyDescent="0.25">
      <c r="A332" s="8" t="s">
        <v>46</v>
      </c>
      <c r="B332" s="8" t="s">
        <v>655</v>
      </c>
      <c r="C332" s="8" t="s">
        <v>46</v>
      </c>
      <c r="D332" s="9" t="s">
        <v>46</v>
      </c>
      <c r="E332" s="10" t="s">
        <v>46</v>
      </c>
      <c r="F332" s="10">
        <f>SUM(F317:F331)</f>
      </c>
      <c r="G332" s="10">
        <f>SUM(G317:G331)</f>
      </c>
      <c r="H332" s="10">
        <f>SUM(H317:H331)</f>
      </c>
    </row>
    <row r="333" spans="1:8" x14ac:dyDescent="0.25">
      <c r="A333" s="7" t="s">
        <v>656</v>
      </c>
      <c r="B333" s="7"/>
      <c r="C333" s="7"/>
      <c r="D333" s="7"/>
      <c r="E333" s="7"/>
      <c r="F333" s="7"/>
      <c r="G333" s="7"/>
      <c r="H333" s="7"/>
    </row>
    <row r="334" spans="1:8" x14ac:dyDescent="0.25">
      <c r="A334" t="s">
        <v>657</v>
      </c>
      <c r="B334" t="s">
        <v>658</v>
      </c>
      <c r="C334" t="s">
        <v>34</v>
      </c>
      <c r="D334" s="1">
        <v>217.95</v>
      </c>
      <c r="E334" s="2">
        <v>3425.72</v>
      </c>
      <c r="F334" s="2">
        <f>D334*E334</f>
      </c>
      <c r="G334" s="2">
        <f>F334*0.16</f>
      </c>
      <c r="H334" s="2">
        <f>F334+G334</f>
      </c>
    </row>
    <row r="335" spans="1:8" x14ac:dyDescent="0.25">
      <c r="A335" t="s">
        <v>659</v>
      </c>
      <c r="B335" t="s">
        <v>660</v>
      </c>
      <c r="C335" t="s">
        <v>15</v>
      </c>
      <c r="D335" s="1">
        <v>333.41</v>
      </c>
      <c r="E335" s="2">
        <v>4678.22</v>
      </c>
      <c r="F335" s="2">
        <f>D335*E335</f>
      </c>
      <c r="G335" s="2">
        <f>F335*0.16</f>
      </c>
      <c r="H335" s="2">
        <f>F335+G335</f>
      </c>
    </row>
    <row r="336" spans="1:8" x14ac:dyDescent="0.25">
      <c r="A336" t="s">
        <v>661</v>
      </c>
      <c r="B336" t="s">
        <v>662</v>
      </c>
      <c r="C336" t="s">
        <v>34</v>
      </c>
      <c r="D336" s="1">
        <v>416.41</v>
      </c>
      <c r="E336" s="2">
        <v>378.62</v>
      </c>
      <c r="F336" s="2">
        <f>D336*E336</f>
      </c>
      <c r="G336" s="2">
        <f>F336*0.16</f>
      </c>
      <c r="H336" s="2">
        <f>F336+G336</f>
      </c>
    </row>
    <row r="337" spans="1:8" x14ac:dyDescent="0.25">
      <c r="A337" t="s">
        <v>663</v>
      </c>
      <c r="B337" t="s">
        <v>664</v>
      </c>
      <c r="C337" t="s">
        <v>41</v>
      </c>
      <c r="D337" s="1">
        <v>116.66</v>
      </c>
      <c r="E337" s="2">
        <v>3734.54</v>
      </c>
      <c r="F337" s="2">
        <f>D337*E337</f>
      </c>
      <c r="G337" s="2">
        <f>F337*0.16</f>
      </c>
      <c r="H337" s="2">
        <f>F337+G337</f>
      </c>
    </row>
    <row r="338" spans="1:8" x14ac:dyDescent="0.25">
      <c r="A338" t="s">
        <v>665</v>
      </c>
      <c r="B338" t="s">
        <v>666</v>
      </c>
      <c r="C338" t="s">
        <v>15</v>
      </c>
      <c r="D338" s="1">
        <v>319.56</v>
      </c>
      <c r="E338" s="2">
        <v>2032.44</v>
      </c>
      <c r="F338" s="2">
        <f>D338*E338</f>
      </c>
      <c r="G338" s="2">
        <f>F338*0.16</f>
      </c>
      <c r="H338" s="2">
        <f>F338+G338</f>
      </c>
    </row>
    <row r="339" spans="1:8" x14ac:dyDescent="0.25">
      <c r="A339" t="s">
        <v>667</v>
      </c>
      <c r="B339" t="s">
        <v>668</v>
      </c>
      <c r="C339" t="s">
        <v>18</v>
      </c>
      <c r="D339" s="1">
        <v>255.13</v>
      </c>
      <c r="E339" s="2">
        <v>2389.47</v>
      </c>
      <c r="F339" s="2">
        <f>D339*E339</f>
      </c>
      <c r="G339" s="2">
        <f>F339*0.16</f>
      </c>
      <c r="H339" s="2">
        <f>F339+G339</f>
      </c>
    </row>
    <row r="340" spans="1:8" x14ac:dyDescent="0.25">
      <c r="A340" t="s">
        <v>669</v>
      </c>
      <c r="B340" t="s">
        <v>670</v>
      </c>
      <c r="C340" t="s">
        <v>34</v>
      </c>
      <c r="D340" s="1">
        <v>375.77</v>
      </c>
      <c r="E340" s="2">
        <v>1472.02</v>
      </c>
      <c r="F340" s="2">
        <f>D340*E340</f>
      </c>
      <c r="G340" s="2">
        <f>F340*0.16</f>
      </c>
      <c r="H340" s="2">
        <f>F340+G340</f>
      </c>
    </row>
    <row r="341" spans="1:8" x14ac:dyDescent="0.25">
      <c r="A341" t="s">
        <v>671</v>
      </c>
      <c r="B341" t="s">
        <v>672</v>
      </c>
      <c r="C341" t="s">
        <v>18</v>
      </c>
      <c r="D341" s="1">
        <v>215.48</v>
      </c>
      <c r="E341" s="2">
        <v>1935.35</v>
      </c>
      <c r="F341" s="2">
        <f>D341*E341</f>
      </c>
      <c r="G341" s="2">
        <f>F341*0.16</f>
      </c>
      <c r="H341" s="2">
        <f>F341+G341</f>
      </c>
    </row>
    <row r="342" spans="1:8" x14ac:dyDescent="0.25">
      <c r="A342" t="s">
        <v>673</v>
      </c>
      <c r="B342" t="s">
        <v>674</v>
      </c>
      <c r="C342" t="s">
        <v>23</v>
      </c>
      <c r="D342" s="1">
        <v>103.46</v>
      </c>
      <c r="E342" s="2">
        <v>1200.17</v>
      </c>
      <c r="F342" s="2">
        <f>D342*E342</f>
      </c>
      <c r="G342" s="2">
        <f>F342*0.16</f>
      </c>
      <c r="H342" s="2">
        <f>F342+G342</f>
      </c>
    </row>
    <row r="343" spans="1:8" x14ac:dyDescent="0.25">
      <c r="A343" t="s">
        <v>675</v>
      </c>
      <c r="B343" t="s">
        <v>676</v>
      </c>
      <c r="C343" t="s">
        <v>15</v>
      </c>
      <c r="D343" s="1">
        <v>111.22</v>
      </c>
      <c r="E343" s="2">
        <v>3776.43</v>
      </c>
      <c r="F343" s="2">
        <f>D343*E343</f>
      </c>
      <c r="G343" s="2">
        <f>F343*0.16</f>
      </c>
      <c r="H343" s="2">
        <f>F343+G343</f>
      </c>
    </row>
    <row r="344" spans="1:8" x14ac:dyDescent="0.25">
      <c r="A344" t="s">
        <v>677</v>
      </c>
      <c r="B344" t="s">
        <v>678</v>
      </c>
      <c r="C344" t="s">
        <v>18</v>
      </c>
      <c r="D344" s="1">
        <v>325.72</v>
      </c>
      <c r="E344" s="2">
        <v>561.33</v>
      </c>
      <c r="F344" s="2">
        <f>D344*E344</f>
      </c>
      <c r="G344" s="2">
        <f>F344*0.16</f>
      </c>
      <c r="H344" s="2">
        <f>F344+G344</f>
      </c>
    </row>
    <row r="345" spans="1:8" x14ac:dyDescent="0.25">
      <c r="A345" t="s">
        <v>679</v>
      </c>
      <c r="B345" t="s">
        <v>680</v>
      </c>
      <c r="C345" t="s">
        <v>18</v>
      </c>
      <c r="D345" s="1">
        <v>198.64</v>
      </c>
      <c r="E345" s="2">
        <v>2077.66</v>
      </c>
      <c r="F345" s="2">
        <f>D345*E345</f>
      </c>
      <c r="G345" s="2">
        <f>F345*0.16</f>
      </c>
      <c r="H345" s="2">
        <f>F345+G345</f>
      </c>
    </row>
    <row r="346" spans="1:8" s="8" customFormat="1" x14ac:dyDescent="0.25">
      <c r="A346" s="8" t="s">
        <v>46</v>
      </c>
      <c r="B346" s="8" t="s">
        <v>681</v>
      </c>
      <c r="C346" s="8" t="s">
        <v>46</v>
      </c>
      <c r="D346" s="9" t="s">
        <v>46</v>
      </c>
      <c r="E346" s="10" t="s">
        <v>46</v>
      </c>
      <c r="F346" s="10">
        <f>SUM(F334:F345)</f>
      </c>
      <c r="G346" s="10">
        <f>SUM(G334:G345)</f>
      </c>
      <c r="H346" s="10">
        <f>SUM(H334:H345)</f>
      </c>
    </row>
    <row r="347" spans="1:8" x14ac:dyDescent="0.25">
      <c r="A347" s="7" t="s">
        <v>682</v>
      </c>
      <c r="B347" s="7"/>
      <c r="C347" s="7"/>
      <c r="D347" s="7"/>
      <c r="E347" s="7"/>
      <c r="F347" s="7"/>
      <c r="G347" s="7"/>
      <c r="H347" s="7"/>
    </row>
    <row r="348" spans="1:8" x14ac:dyDescent="0.25">
      <c r="A348" t="s">
        <v>683</v>
      </c>
      <c r="B348" t="s">
        <v>684</v>
      </c>
      <c r="C348" t="s">
        <v>15</v>
      </c>
      <c r="D348" s="1">
        <v>35.64</v>
      </c>
      <c r="E348" s="2">
        <v>3161.33</v>
      </c>
      <c r="F348" s="2">
        <f>D348*E348</f>
      </c>
      <c r="G348" s="2">
        <f>F348*0.16</f>
      </c>
      <c r="H348" s="2">
        <f>F348+G348</f>
      </c>
    </row>
    <row r="349" spans="1:8" x14ac:dyDescent="0.25">
      <c r="A349" t="s">
        <v>685</v>
      </c>
      <c r="B349" t="s">
        <v>686</v>
      </c>
      <c r="C349" t="s">
        <v>15</v>
      </c>
      <c r="D349" s="1">
        <v>222.47</v>
      </c>
      <c r="E349" s="2">
        <v>2762.03</v>
      </c>
      <c r="F349" s="2">
        <f>D349*E349</f>
      </c>
      <c r="G349" s="2">
        <f>F349*0.16</f>
      </c>
      <c r="H349" s="2">
        <f>F349+G349</f>
      </c>
    </row>
    <row r="350" spans="1:8" x14ac:dyDescent="0.25">
      <c r="A350" t="s">
        <v>687</v>
      </c>
      <c r="B350" t="s">
        <v>688</v>
      </c>
      <c r="C350" t="s">
        <v>12</v>
      </c>
      <c r="D350" s="1">
        <v>157.19</v>
      </c>
      <c r="E350" s="2">
        <v>4696.14</v>
      </c>
      <c r="F350" s="2">
        <f>D350*E350</f>
      </c>
      <c r="G350" s="2">
        <f>F350*0.16</f>
      </c>
      <c r="H350" s="2">
        <f>F350+G350</f>
      </c>
    </row>
    <row r="351" spans="1:8" x14ac:dyDescent="0.25">
      <c r="A351" t="s">
        <v>689</v>
      </c>
      <c r="B351" t="s">
        <v>690</v>
      </c>
      <c r="C351" t="s">
        <v>34</v>
      </c>
      <c r="D351" s="1">
        <v>221.08</v>
      </c>
      <c r="E351" s="2">
        <v>990.08</v>
      </c>
      <c r="F351" s="2">
        <f>D351*E351</f>
      </c>
      <c r="G351" s="2">
        <f>F351*0.16</f>
      </c>
      <c r="H351" s="2">
        <f>F351+G351</f>
      </c>
    </row>
    <row r="352" spans="1:8" x14ac:dyDescent="0.25">
      <c r="A352" t="s">
        <v>691</v>
      </c>
      <c r="B352" t="s">
        <v>692</v>
      </c>
      <c r="C352" t="s">
        <v>41</v>
      </c>
      <c r="D352" s="1">
        <v>110.39</v>
      </c>
      <c r="E352" s="2">
        <v>277.26</v>
      </c>
      <c r="F352" s="2">
        <f>D352*E352</f>
      </c>
      <c r="G352" s="2">
        <f>F352*0.16</f>
      </c>
      <c r="H352" s="2">
        <f>F352+G352</f>
      </c>
    </row>
    <row r="353" spans="1:8" x14ac:dyDescent="0.25">
      <c r="A353" t="s">
        <v>693</v>
      </c>
      <c r="B353" t="s">
        <v>694</v>
      </c>
      <c r="C353" t="s">
        <v>18</v>
      </c>
      <c r="D353" s="1">
        <v>285.51</v>
      </c>
      <c r="E353" s="2">
        <v>3395.13</v>
      </c>
      <c r="F353" s="2">
        <f>D353*E353</f>
      </c>
      <c r="G353" s="2">
        <f>F353*0.16</f>
      </c>
      <c r="H353" s="2">
        <f>F353+G353</f>
      </c>
    </row>
    <row r="354" spans="1:8" x14ac:dyDescent="0.25">
      <c r="A354" t="s">
        <v>695</v>
      </c>
      <c r="B354" t="s">
        <v>696</v>
      </c>
      <c r="C354" t="s">
        <v>41</v>
      </c>
      <c r="D354" s="1">
        <v>23.78</v>
      </c>
      <c r="E354" s="2">
        <v>2170.8</v>
      </c>
      <c r="F354" s="2">
        <f>D354*E354</f>
      </c>
      <c r="G354" s="2">
        <f>F354*0.16</f>
      </c>
      <c r="H354" s="2">
        <f>F354+G354</f>
      </c>
    </row>
    <row r="355" spans="1:8" x14ac:dyDescent="0.25">
      <c r="A355" t="s">
        <v>697</v>
      </c>
      <c r="B355" t="s">
        <v>698</v>
      </c>
      <c r="C355" t="s">
        <v>15</v>
      </c>
      <c r="D355" s="1">
        <v>407.1</v>
      </c>
      <c r="E355" s="2">
        <v>3584.19</v>
      </c>
      <c r="F355" s="2">
        <f>D355*E355</f>
      </c>
      <c r="G355" s="2">
        <f>F355*0.16</f>
      </c>
      <c r="H355" s="2">
        <f>F355+G355</f>
      </c>
    </row>
    <row r="356" spans="1:8" x14ac:dyDescent="0.25">
      <c r="A356" t="s">
        <v>699</v>
      </c>
      <c r="B356" t="s">
        <v>700</v>
      </c>
      <c r="C356" t="s">
        <v>12</v>
      </c>
      <c r="D356" s="1">
        <v>237.45</v>
      </c>
      <c r="E356" s="2">
        <v>958.98</v>
      </c>
      <c r="F356" s="2">
        <f>D356*E356</f>
      </c>
      <c r="G356" s="2">
        <f>F356*0.16</f>
      </c>
      <c r="H356" s="2">
        <f>F356+G356</f>
      </c>
    </row>
    <row r="357" spans="1:8" x14ac:dyDescent="0.25">
      <c r="A357" t="s">
        <v>701</v>
      </c>
      <c r="B357" t="s">
        <v>702</v>
      </c>
      <c r="C357" t="s">
        <v>15</v>
      </c>
      <c r="D357" s="1">
        <v>414.19</v>
      </c>
      <c r="E357" s="2">
        <v>1475.3</v>
      </c>
      <c r="F357" s="2">
        <f>D357*E357</f>
      </c>
      <c r="G357" s="2">
        <f>F357*0.16</f>
      </c>
      <c r="H357" s="2">
        <f>F357+G357</f>
      </c>
    </row>
    <row r="358" spans="1:8" x14ac:dyDescent="0.25">
      <c r="A358" t="s">
        <v>703</v>
      </c>
      <c r="B358" t="s">
        <v>704</v>
      </c>
      <c r="C358" t="s">
        <v>12</v>
      </c>
      <c r="D358" s="1">
        <v>264.78</v>
      </c>
      <c r="E358" s="2">
        <v>4538.12</v>
      </c>
      <c r="F358" s="2">
        <f>D358*E358</f>
      </c>
      <c r="G358" s="2">
        <f>F358*0.16</f>
      </c>
      <c r="H358" s="2">
        <f>F358+G358</f>
      </c>
    </row>
    <row r="359" spans="1:8" x14ac:dyDescent="0.25">
      <c r="A359" t="s">
        <v>705</v>
      </c>
      <c r="B359" t="s">
        <v>706</v>
      </c>
      <c r="C359" t="s">
        <v>23</v>
      </c>
      <c r="D359" s="1">
        <v>239.5</v>
      </c>
      <c r="E359" s="2">
        <v>732.88</v>
      </c>
      <c r="F359" s="2">
        <f>D359*E359</f>
      </c>
      <c r="G359" s="2">
        <f>F359*0.16</f>
      </c>
      <c r="H359" s="2">
        <f>F359+G359</f>
      </c>
    </row>
    <row r="360" spans="1:8" x14ac:dyDescent="0.25">
      <c r="A360" t="s">
        <v>707</v>
      </c>
      <c r="B360" t="s">
        <v>708</v>
      </c>
      <c r="C360" t="s">
        <v>15</v>
      </c>
      <c r="D360" s="1">
        <v>65.98</v>
      </c>
      <c r="E360" s="2">
        <v>2361.85</v>
      </c>
      <c r="F360" s="2">
        <f>D360*E360</f>
      </c>
      <c r="G360" s="2">
        <f>F360*0.16</f>
      </c>
      <c r="H360" s="2">
        <f>F360+G360</f>
      </c>
    </row>
    <row r="361" spans="1:8" x14ac:dyDescent="0.25">
      <c r="A361" t="s">
        <v>709</v>
      </c>
      <c r="B361" t="s">
        <v>710</v>
      </c>
      <c r="C361" t="s">
        <v>15</v>
      </c>
      <c r="D361" s="1">
        <v>311.05</v>
      </c>
      <c r="E361" s="2">
        <v>4185.03</v>
      </c>
      <c r="F361" s="2">
        <f>D361*E361</f>
      </c>
      <c r="G361" s="2">
        <f>F361*0.16</f>
      </c>
      <c r="H361" s="2">
        <f>F361+G361</f>
      </c>
    </row>
    <row r="362" spans="1:8" x14ac:dyDescent="0.25">
      <c r="A362" t="s">
        <v>711</v>
      </c>
      <c r="B362" t="s">
        <v>712</v>
      </c>
      <c r="C362" t="s">
        <v>18</v>
      </c>
      <c r="D362" s="1">
        <v>168.2</v>
      </c>
      <c r="E362" s="2">
        <v>267.09</v>
      </c>
      <c r="F362" s="2">
        <f>D362*E362</f>
      </c>
      <c r="G362" s="2">
        <f>F362*0.16</f>
      </c>
      <c r="H362" s="2">
        <f>F362+G362</f>
      </c>
    </row>
    <row r="363" spans="1:8" x14ac:dyDescent="0.25">
      <c r="A363" t="s">
        <v>713</v>
      </c>
      <c r="B363" t="s">
        <v>714</v>
      </c>
      <c r="C363" t="s">
        <v>15</v>
      </c>
      <c r="D363" s="1">
        <v>109.63</v>
      </c>
      <c r="E363" s="2">
        <v>3708.36</v>
      </c>
      <c r="F363" s="2">
        <f>D363*E363</f>
      </c>
      <c r="G363" s="2">
        <f>F363*0.16</f>
      </c>
      <c r="H363" s="2">
        <f>F363+G363</f>
      </c>
    </row>
    <row r="364" spans="1:8" x14ac:dyDescent="0.25">
      <c r="A364" t="s">
        <v>715</v>
      </c>
      <c r="B364" t="s">
        <v>716</v>
      </c>
      <c r="C364" t="s">
        <v>41</v>
      </c>
      <c r="D364" s="1">
        <v>233.43</v>
      </c>
      <c r="E364" s="2">
        <v>2696.49</v>
      </c>
      <c r="F364" s="2">
        <f>D364*E364</f>
      </c>
      <c r="G364" s="2">
        <f>F364*0.16</f>
      </c>
      <c r="H364" s="2">
        <f>F364+G364</f>
      </c>
    </row>
    <row r="365" spans="1:8" x14ac:dyDescent="0.25">
      <c r="A365" t="s">
        <v>717</v>
      </c>
      <c r="B365" t="s">
        <v>718</v>
      </c>
      <c r="C365" t="s">
        <v>15</v>
      </c>
      <c r="D365" s="1">
        <v>169.06</v>
      </c>
      <c r="E365" s="2">
        <v>2711.88</v>
      </c>
      <c r="F365" s="2">
        <f>D365*E365</f>
      </c>
      <c r="G365" s="2">
        <f>F365*0.16</f>
      </c>
      <c r="H365" s="2">
        <f>F365+G365</f>
      </c>
    </row>
    <row r="366" spans="1:8" s="8" customFormat="1" x14ac:dyDescent="0.25">
      <c r="A366" s="8" t="s">
        <v>46</v>
      </c>
      <c r="B366" s="8" t="s">
        <v>719</v>
      </c>
      <c r="C366" s="8" t="s">
        <v>46</v>
      </c>
      <c r="D366" s="9" t="s">
        <v>46</v>
      </c>
      <c r="E366" s="10" t="s">
        <v>46</v>
      </c>
      <c r="F366" s="10">
        <f>SUM(F348:F365)</f>
      </c>
      <c r="G366" s="10">
        <f>SUM(G348:G365)</f>
      </c>
      <c r="H366" s="10">
        <f>SUM(H348:H365)</f>
      </c>
    </row>
    <row r="367" spans="1:8" x14ac:dyDescent="0.25">
      <c r="A367" s="7" t="s">
        <v>720</v>
      </c>
      <c r="B367" s="7"/>
      <c r="C367" s="7"/>
      <c r="D367" s="7"/>
      <c r="E367" s="7"/>
      <c r="F367" s="7"/>
      <c r="G367" s="7"/>
      <c r="H367" s="7"/>
    </row>
    <row r="368" spans="1:8" x14ac:dyDescent="0.25">
      <c r="A368" t="s">
        <v>721</v>
      </c>
      <c r="B368" t="s">
        <v>722</v>
      </c>
      <c r="C368" t="s">
        <v>12</v>
      </c>
      <c r="D368" s="1">
        <v>150.23</v>
      </c>
      <c r="E368" s="2">
        <v>889.61</v>
      </c>
      <c r="F368" s="2">
        <f>D368*E368</f>
      </c>
      <c r="G368" s="2">
        <f>F368*0.16</f>
      </c>
      <c r="H368" s="2">
        <f>F368+G368</f>
      </c>
    </row>
    <row r="369" spans="1:8" x14ac:dyDescent="0.25">
      <c r="A369" t="s">
        <v>723</v>
      </c>
      <c r="B369" t="s">
        <v>724</v>
      </c>
      <c r="C369" t="s">
        <v>34</v>
      </c>
      <c r="D369" s="1">
        <v>29.79</v>
      </c>
      <c r="E369" s="2">
        <v>1069.92</v>
      </c>
      <c r="F369" s="2">
        <f>D369*E369</f>
      </c>
      <c r="G369" s="2">
        <f>F369*0.16</f>
      </c>
      <c r="H369" s="2">
        <f>F369+G369</f>
      </c>
    </row>
    <row r="370" spans="1:8" x14ac:dyDescent="0.25">
      <c r="A370" t="s">
        <v>725</v>
      </c>
      <c r="B370" t="s">
        <v>726</v>
      </c>
      <c r="C370" t="s">
        <v>23</v>
      </c>
      <c r="D370" s="1">
        <v>200.13</v>
      </c>
      <c r="E370" s="2">
        <v>4125.81</v>
      </c>
      <c r="F370" s="2">
        <f>D370*E370</f>
      </c>
      <c r="G370" s="2">
        <f>F370*0.16</f>
      </c>
      <c r="H370" s="2">
        <f>F370+G370</f>
      </c>
    </row>
    <row r="371" spans="1:8" x14ac:dyDescent="0.25">
      <c r="A371" t="s">
        <v>727</v>
      </c>
      <c r="B371" t="s">
        <v>728</v>
      </c>
      <c r="C371" t="s">
        <v>41</v>
      </c>
      <c r="D371" s="1">
        <v>157.6</v>
      </c>
      <c r="E371" s="2">
        <v>3342.96</v>
      </c>
      <c r="F371" s="2">
        <f>D371*E371</f>
      </c>
      <c r="G371" s="2">
        <f>F371*0.16</f>
      </c>
      <c r="H371" s="2">
        <f>F371+G371</f>
      </c>
    </row>
    <row r="372" spans="1:8" x14ac:dyDescent="0.25">
      <c r="A372" t="s">
        <v>729</v>
      </c>
      <c r="B372" t="s">
        <v>730</v>
      </c>
      <c r="C372" t="s">
        <v>12</v>
      </c>
      <c r="D372" s="1">
        <v>252.84</v>
      </c>
      <c r="E372" s="2">
        <v>4525.01</v>
      </c>
      <c r="F372" s="2">
        <f>D372*E372</f>
      </c>
      <c r="G372" s="2">
        <f>F372*0.16</f>
      </c>
      <c r="H372" s="2">
        <f>F372+G372</f>
      </c>
    </row>
    <row r="373" spans="1:8" x14ac:dyDescent="0.25">
      <c r="A373" t="s">
        <v>731</v>
      </c>
      <c r="B373" t="s">
        <v>732</v>
      </c>
      <c r="C373" t="s">
        <v>15</v>
      </c>
      <c r="D373" s="1">
        <v>455.37</v>
      </c>
      <c r="E373" s="2">
        <v>4349.37</v>
      </c>
      <c r="F373" s="2">
        <f>D373*E373</f>
      </c>
      <c r="G373" s="2">
        <f>F373*0.16</f>
      </c>
      <c r="H373" s="2">
        <f>F373+G373</f>
      </c>
    </row>
    <row r="374" spans="1:8" x14ac:dyDescent="0.25">
      <c r="A374" t="s">
        <v>733</v>
      </c>
      <c r="B374" t="s">
        <v>734</v>
      </c>
      <c r="C374" t="s">
        <v>34</v>
      </c>
      <c r="D374" s="1">
        <v>490.62</v>
      </c>
      <c r="E374" s="2">
        <v>4341.33</v>
      </c>
      <c r="F374" s="2">
        <f>D374*E374</f>
      </c>
      <c r="G374" s="2">
        <f>F374*0.16</f>
      </c>
      <c r="H374" s="2">
        <f>F374+G374</f>
      </c>
    </row>
    <row r="375" spans="1:8" x14ac:dyDescent="0.25">
      <c r="A375" t="s">
        <v>735</v>
      </c>
      <c r="B375" t="s">
        <v>736</v>
      </c>
      <c r="C375" t="s">
        <v>18</v>
      </c>
      <c r="D375" s="1">
        <v>454.32</v>
      </c>
      <c r="E375" s="2">
        <v>4247.35</v>
      </c>
      <c r="F375" s="2">
        <f>D375*E375</f>
      </c>
      <c r="G375" s="2">
        <f>F375*0.16</f>
      </c>
      <c r="H375" s="2">
        <f>F375+G375</f>
      </c>
    </row>
    <row r="376" spans="1:8" s="8" customFormat="1" x14ac:dyDescent="0.25">
      <c r="A376" s="8" t="s">
        <v>46</v>
      </c>
      <c r="B376" s="8" t="s">
        <v>737</v>
      </c>
      <c r="C376" s="8" t="s">
        <v>46</v>
      </c>
      <c r="D376" s="9" t="s">
        <v>46</v>
      </c>
      <c r="E376" s="10" t="s">
        <v>46</v>
      </c>
      <c r="F376" s="10">
        <f>SUM(F368:F375)</f>
      </c>
      <c r="G376" s="10">
        <f>SUM(G368:G375)</f>
      </c>
      <c r="H376" s="10">
        <f>SUM(H368:H375)</f>
      </c>
    </row>
    <row r="377" spans="1:8" x14ac:dyDescent="0.25">
      <c r="A377" s="7" t="s">
        <v>738</v>
      </c>
      <c r="B377" s="7"/>
      <c r="C377" s="7"/>
      <c r="D377" s="7"/>
      <c r="E377" s="7"/>
      <c r="F377" s="7"/>
      <c r="G377" s="7"/>
      <c r="H377" s="7"/>
    </row>
    <row r="378" spans="1:8" x14ac:dyDescent="0.25">
      <c r="A378" t="s">
        <v>739</v>
      </c>
      <c r="B378" t="s">
        <v>740</v>
      </c>
      <c r="C378" t="s">
        <v>23</v>
      </c>
      <c r="D378" s="1">
        <v>494.93</v>
      </c>
      <c r="E378" s="2">
        <v>4361.17</v>
      </c>
      <c r="F378" s="2">
        <f>D378*E378</f>
      </c>
      <c r="G378" s="2">
        <f>F378*0.16</f>
      </c>
      <c r="H378" s="2">
        <f>F378+G378</f>
      </c>
    </row>
    <row r="379" spans="1:8" x14ac:dyDescent="0.25">
      <c r="A379" t="s">
        <v>741</v>
      </c>
      <c r="B379" t="s">
        <v>742</v>
      </c>
      <c r="C379" t="s">
        <v>23</v>
      </c>
      <c r="D379" s="1">
        <v>332.97</v>
      </c>
      <c r="E379" s="2">
        <v>1918.27</v>
      </c>
      <c r="F379" s="2">
        <f>D379*E379</f>
      </c>
      <c r="G379" s="2">
        <f>F379*0.16</f>
      </c>
      <c r="H379" s="2">
        <f>F379+G379</f>
      </c>
    </row>
    <row r="380" spans="1:8" x14ac:dyDescent="0.25">
      <c r="A380" t="s">
        <v>743</v>
      </c>
      <c r="B380" t="s">
        <v>744</v>
      </c>
      <c r="C380" t="s">
        <v>15</v>
      </c>
      <c r="D380" s="1">
        <v>495.3</v>
      </c>
      <c r="E380" s="2">
        <v>39.72</v>
      </c>
      <c r="F380" s="2">
        <f>D380*E380</f>
      </c>
      <c r="G380" s="2">
        <f>F380*0.16</f>
      </c>
      <c r="H380" s="2">
        <f>F380+G380</f>
      </c>
    </row>
    <row r="381" spans="1:8" x14ac:dyDescent="0.25">
      <c r="A381" t="s">
        <v>745</v>
      </c>
      <c r="B381" t="s">
        <v>746</v>
      </c>
      <c r="C381" t="s">
        <v>41</v>
      </c>
      <c r="D381" s="1">
        <v>111.89</v>
      </c>
      <c r="E381" s="2">
        <v>3745.62</v>
      </c>
      <c r="F381" s="2">
        <f>D381*E381</f>
      </c>
      <c r="G381" s="2">
        <f>F381*0.16</f>
      </c>
      <c r="H381" s="2">
        <f>F381+G381</f>
      </c>
    </row>
    <row r="382" spans="1:8" x14ac:dyDescent="0.25">
      <c r="A382" t="s">
        <v>747</v>
      </c>
      <c r="B382" t="s">
        <v>748</v>
      </c>
      <c r="C382" t="s">
        <v>34</v>
      </c>
      <c r="D382" s="1">
        <v>137.14</v>
      </c>
      <c r="E382" s="2">
        <v>960.12</v>
      </c>
      <c r="F382" s="2">
        <f>D382*E382</f>
      </c>
      <c r="G382" s="2">
        <f>F382*0.16</f>
      </c>
      <c r="H382" s="2">
        <f>F382+G382</f>
      </c>
    </row>
    <row r="383" spans="1:8" x14ac:dyDescent="0.25">
      <c r="A383" t="s">
        <v>749</v>
      </c>
      <c r="B383" t="s">
        <v>750</v>
      </c>
      <c r="C383" t="s">
        <v>12</v>
      </c>
      <c r="D383" s="1">
        <v>418.56</v>
      </c>
      <c r="E383" s="2">
        <v>2727.48</v>
      </c>
      <c r="F383" s="2">
        <f>D383*E383</f>
      </c>
      <c r="G383" s="2">
        <f>F383*0.16</f>
      </c>
      <c r="H383" s="2">
        <f>F383+G383</f>
      </c>
    </row>
    <row r="384" spans="1:8" x14ac:dyDescent="0.25">
      <c r="A384" t="s">
        <v>751</v>
      </c>
      <c r="B384" t="s">
        <v>752</v>
      </c>
      <c r="C384" t="s">
        <v>15</v>
      </c>
      <c r="D384" s="1">
        <v>314.79</v>
      </c>
      <c r="E384" s="2">
        <v>465.82</v>
      </c>
      <c r="F384" s="2">
        <f>D384*E384</f>
      </c>
      <c r="G384" s="2">
        <f>F384*0.16</f>
      </c>
      <c r="H384" s="2">
        <f>F384+G384</f>
      </c>
    </row>
    <row r="385" spans="1:8" x14ac:dyDescent="0.25">
      <c r="A385" t="s">
        <v>753</v>
      </c>
      <c r="B385" t="s">
        <v>754</v>
      </c>
      <c r="C385" t="s">
        <v>15</v>
      </c>
      <c r="D385" s="1">
        <v>365.78</v>
      </c>
      <c r="E385" s="2">
        <v>924.61</v>
      </c>
      <c r="F385" s="2">
        <f>D385*E385</f>
      </c>
      <c r="G385" s="2">
        <f>F385*0.16</f>
      </c>
      <c r="H385" s="2">
        <f>F385+G385</f>
      </c>
    </row>
    <row r="386" spans="1:8" x14ac:dyDescent="0.25">
      <c r="A386" t="s">
        <v>755</v>
      </c>
      <c r="B386" t="s">
        <v>756</v>
      </c>
      <c r="C386" t="s">
        <v>12</v>
      </c>
      <c r="D386" s="1">
        <v>148.53</v>
      </c>
      <c r="E386" s="2">
        <v>3164.26</v>
      </c>
      <c r="F386" s="2">
        <f>D386*E386</f>
      </c>
      <c r="G386" s="2">
        <f>F386*0.16</f>
      </c>
      <c r="H386" s="2">
        <f>F386+G386</f>
      </c>
    </row>
    <row r="387" spans="1:8" x14ac:dyDescent="0.25">
      <c r="A387" t="s">
        <v>757</v>
      </c>
      <c r="B387" t="s">
        <v>758</v>
      </c>
      <c r="C387" t="s">
        <v>12</v>
      </c>
      <c r="D387" s="1">
        <v>361.64</v>
      </c>
      <c r="E387" s="2">
        <v>3866.72</v>
      </c>
      <c r="F387" s="2">
        <f>D387*E387</f>
      </c>
      <c r="G387" s="2">
        <f>F387*0.16</f>
      </c>
      <c r="H387" s="2">
        <f>F387+G387</f>
      </c>
    </row>
    <row r="388" spans="1:8" s="8" customFormat="1" x14ac:dyDescent="0.25">
      <c r="A388" s="8" t="s">
        <v>46</v>
      </c>
      <c r="B388" s="8" t="s">
        <v>759</v>
      </c>
      <c r="C388" s="8" t="s">
        <v>46</v>
      </c>
      <c r="D388" s="9" t="s">
        <v>46</v>
      </c>
      <c r="E388" s="10" t="s">
        <v>46</v>
      </c>
      <c r="F388" s="10">
        <f>SUM(F378:F387)</f>
      </c>
      <c r="G388" s="10">
        <f>SUM(G378:G387)</f>
      </c>
      <c r="H388" s="10">
        <f>SUM(H378:H387)</f>
      </c>
    </row>
    <row r="389" spans="1:8" x14ac:dyDescent="0.25">
      <c r="A389" s="7" t="s">
        <v>760</v>
      </c>
      <c r="B389" s="7"/>
      <c r="C389" s="7"/>
      <c r="D389" s="7"/>
      <c r="E389" s="7"/>
      <c r="F389" s="7"/>
      <c r="G389" s="7"/>
      <c r="H389" s="7"/>
    </row>
    <row r="390" spans="1:8" x14ac:dyDescent="0.25">
      <c r="A390" t="s">
        <v>761</v>
      </c>
      <c r="B390" t="s">
        <v>762</v>
      </c>
      <c r="C390" t="s">
        <v>15</v>
      </c>
      <c r="D390" s="1">
        <v>121.9</v>
      </c>
      <c r="E390" s="2">
        <v>2487.44</v>
      </c>
      <c r="F390" s="2">
        <f>D390*E390</f>
      </c>
      <c r="G390" s="2">
        <f>F390*0.16</f>
      </c>
      <c r="H390" s="2">
        <f>F390+G390</f>
      </c>
    </row>
    <row r="391" spans="1:8" x14ac:dyDescent="0.25">
      <c r="A391" t="s">
        <v>763</v>
      </c>
      <c r="B391" t="s">
        <v>764</v>
      </c>
      <c r="C391" t="s">
        <v>18</v>
      </c>
      <c r="D391" s="1">
        <v>19.2</v>
      </c>
      <c r="E391" s="2">
        <v>3119.78</v>
      </c>
      <c r="F391" s="2">
        <f>D391*E391</f>
      </c>
      <c r="G391" s="2">
        <f>F391*0.16</f>
      </c>
      <c r="H391" s="2">
        <f>F391+G391</f>
      </c>
    </row>
    <row r="392" spans="1:8" x14ac:dyDescent="0.25">
      <c r="A392" t="s">
        <v>765</v>
      </c>
      <c r="B392" t="s">
        <v>766</v>
      </c>
      <c r="C392" t="s">
        <v>12</v>
      </c>
      <c r="D392" s="1">
        <v>323.29</v>
      </c>
      <c r="E392" s="2">
        <v>2743.62</v>
      </c>
      <c r="F392" s="2">
        <f>D392*E392</f>
      </c>
      <c r="G392" s="2">
        <f>F392*0.16</f>
      </c>
      <c r="H392" s="2">
        <f>F392+G392</f>
      </c>
    </row>
    <row r="393" spans="1:8" x14ac:dyDescent="0.25">
      <c r="A393" t="s">
        <v>767</v>
      </c>
      <c r="B393" t="s">
        <v>768</v>
      </c>
      <c r="C393" t="s">
        <v>18</v>
      </c>
      <c r="D393" s="1">
        <v>190.86</v>
      </c>
      <c r="E393" s="2">
        <v>4630.62</v>
      </c>
      <c r="F393" s="2">
        <f>D393*E393</f>
      </c>
      <c r="G393" s="2">
        <f>F393*0.16</f>
      </c>
      <c r="H393" s="2">
        <f>F393+G393</f>
      </c>
    </row>
    <row r="394" spans="1:8" x14ac:dyDescent="0.25">
      <c r="A394" t="s">
        <v>769</v>
      </c>
      <c r="B394" t="s">
        <v>770</v>
      </c>
      <c r="C394" t="s">
        <v>18</v>
      </c>
      <c r="D394" s="1">
        <v>423.39</v>
      </c>
      <c r="E394" s="2">
        <v>2819.39</v>
      </c>
      <c r="F394" s="2">
        <f>D394*E394</f>
      </c>
      <c r="G394" s="2">
        <f>F394*0.16</f>
      </c>
      <c r="H394" s="2">
        <f>F394+G394</f>
      </c>
    </row>
    <row r="395" spans="1:8" s="8" customFormat="1" x14ac:dyDescent="0.25">
      <c r="A395" s="8" t="s">
        <v>46</v>
      </c>
      <c r="B395" s="8" t="s">
        <v>771</v>
      </c>
      <c r="C395" s="8" t="s">
        <v>46</v>
      </c>
      <c r="D395" s="9" t="s">
        <v>46</v>
      </c>
      <c r="E395" s="10" t="s">
        <v>46</v>
      </c>
      <c r="F395" s="10">
        <f>SUM(F390:F394)</f>
      </c>
      <c r="G395" s="10">
        <f>SUM(G390:G394)</f>
      </c>
      <c r="H395" s="10">
        <f>SUM(H390:H394)</f>
      </c>
    </row>
    <row r="397" spans="1:8" x14ac:dyDescent="0.25">
      <c r="A397" s="11" t="s">
        <v>772</v>
      </c>
      <c r="B397" s="11"/>
      <c r="C397" s="11"/>
      <c r="D397" s="11"/>
      <c r="E397" s="11"/>
      <c r="F397" s="2"/>
      <c r="G397" s="2"/>
      <c r="H397" s="2"/>
    </row>
  </sheetData>
  <mergeCells count="17">
    <mergeCell ref="A1:H1"/>
    <mergeCell ref="A3:H3"/>
    <mergeCell ref="A20:H20"/>
    <mergeCell ref="A47:H47"/>
    <mergeCell ref="A89:H89"/>
    <mergeCell ref="A121:H121"/>
    <mergeCell ref="A158:H158"/>
    <mergeCell ref="A185:H185"/>
    <mergeCell ref="A232:H232"/>
    <mergeCell ref="A294:H294"/>
    <mergeCell ref="A316:H316"/>
    <mergeCell ref="A333:H333"/>
    <mergeCell ref="A347:H347"/>
    <mergeCell ref="A367:H367"/>
    <mergeCell ref="A377:H377"/>
    <mergeCell ref="A389:H389"/>
    <mergeCell ref="A397:E39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Edificio 1</vt:lpstr>
      <vt:lpstr>Edificio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2026-01-27T18:10:49Z</dcterms:created>
  <dcterms:modified xsi:type="dcterms:W3CDTF">2026-01-27T18:10:49Z</dcterms:modified>
</cp:coreProperties>
</file>